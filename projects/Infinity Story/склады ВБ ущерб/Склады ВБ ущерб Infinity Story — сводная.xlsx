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ная" sheetId="1" state="visible" r:id="rId3"/>
    <sheet name="Сверка" sheetId="2" state="visible" r:id="rId4"/>
  </sheets>
  <definedNames>
    <definedName function="false" hidden="true" localSheetId="0" name="_xlnm._FilterDatabase" vbProcedure="false">Сводная!$A$1:$W$127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Файл: товары 17.07 … (дата ущерба 17.07)</t>
        </r>
      </text>
    </comment>
    <comment ref="H1" authorId="0">
      <text>
        <r>
          <rPr>
            <sz val="10"/>
            <rFont val="Arial"/>
            <family val="2"/>
          </rPr>
          <t xml:space="preserve">Файл: товары 22.07 … (дата ущерба 22.07)</t>
        </r>
      </text>
    </comment>
    <comment ref="I1" authorId="0">
      <text>
        <r>
          <rPr>
            <sz val="10"/>
            <rFont val="Arial"/>
            <family val="2"/>
          </rPr>
          <t xml:space="preserve">Файл: товары 22.07 … (дата ущерба 22.07)</t>
        </r>
      </text>
    </comment>
    <comment ref="J1" authorId="0">
      <text>
        <r>
          <rPr>
            <sz val="10"/>
            <rFont val="Arial"/>
            <family val="2"/>
          </rPr>
          <t xml:space="preserve">Файл: товары 24.07 … (дата ущерба 24.07)</t>
        </r>
      </text>
    </comment>
    <comment ref="K1" authorId="0">
      <text>
        <r>
          <rPr>
            <sz val="10"/>
            <rFont val="Arial"/>
            <family val="2"/>
          </rPr>
          <t xml:space="preserve">Файл: товары 29.07 … (дата ущерба 29.07)</t>
        </r>
      </text>
    </comment>
    <comment ref="L1" authorId="0">
      <text>
        <r>
          <rPr>
            <sz val="10"/>
            <rFont val="Arial"/>
            <family val="2"/>
          </rPr>
          <t xml:space="preserve">Файл: товары 30.07 … (дата ущерба 30.07)</t>
        </r>
      </text>
    </comment>
    <comment ref="M1" authorId="0">
      <text>
        <r>
          <rPr>
            <sz val="10"/>
            <rFont val="Arial"/>
            <family val="2"/>
          </rPr>
          <t xml:space="preserve">Файл: товары 30.07 … (дата ущерба 30.07)</t>
        </r>
      </text>
    </comment>
    <comment ref="N1" authorId="0">
      <text>
        <r>
          <rPr>
            <sz val="10"/>
            <rFont val="Arial"/>
            <family val="2"/>
          </rPr>
          <t xml:space="preserve">Файл: товары 31.07 … (дата ущерба 31.07)</t>
        </r>
      </text>
    </comment>
    <comment ref="O1" authorId="0">
      <text>
        <r>
          <rPr>
            <sz val="10"/>
            <rFont val="Arial"/>
            <family val="2"/>
          </rPr>
          <t xml:space="preserve">Файл: товары 02.08 … (дата ущерба 02.08)</t>
        </r>
      </text>
    </comment>
    <comment ref="P1" authorId="0">
      <text>
        <r>
          <rPr>
            <sz val="10"/>
            <rFont val="Arial"/>
            <family val="2"/>
          </rPr>
          <t xml:space="preserve">Файл: товары 03.08 … (дата ущерба 03.08)</t>
        </r>
      </text>
    </comment>
    <comment ref="Q1" authorId="0">
      <text>
        <r>
          <rPr>
            <sz val="10"/>
            <rFont val="Arial"/>
            <family val="2"/>
          </rPr>
          <t xml:space="preserve">Файл: товары 05.08 … (дата ущерба 05.08)</t>
        </r>
      </text>
    </comment>
    <comment ref="R1" authorId="0">
      <text>
        <r>
          <rPr>
            <sz val="10"/>
            <rFont val="Arial"/>
            <family val="2"/>
          </rPr>
          <t xml:space="preserve">Файл: товары 07.08 … (дата ущерба 07.08)</t>
        </r>
      </text>
    </comment>
    <comment ref="S1" authorId="0">
      <text>
        <r>
          <rPr>
            <sz val="10"/>
            <rFont val="Arial"/>
            <family val="2"/>
          </rPr>
          <t xml:space="preserve">Файл: товары 16.08 … (дата ущерба 16.08)</t>
        </r>
      </text>
    </comment>
    <comment ref="T1" authorId="0">
      <text>
        <r>
          <rPr>
            <sz val="10"/>
            <rFont val="Arial"/>
            <family val="2"/>
          </rPr>
          <t xml:space="preserve">Файл: товары 26.08 … (дата ущерба 26.08)</t>
        </r>
      </text>
    </comment>
  </commentList>
</comments>
</file>

<file path=xl/sharedStrings.xml><?xml version="1.0" encoding="utf-8"?>
<sst xmlns="http://schemas.openxmlformats.org/spreadsheetml/2006/main" count="815" uniqueCount="295">
  <si>
    <t xml:space="preserve">Бренд</t>
  </si>
  <si>
    <t xml:space="preserve">Предмет</t>
  </si>
  <si>
    <t xml:space="preserve">Артикул</t>
  </si>
  <si>
    <t xml:space="preserve">Артикул WB</t>
  </si>
  <si>
    <t xml:space="preserve">Баркод</t>
  </si>
  <si>
    <t xml:space="preserve">Размер</t>
  </si>
  <si>
    <t xml:space="preserve">Электросталь</t>
  </si>
  <si>
    <t xml:space="preserve">Краснодар</t>
  </si>
  <si>
    <t xml:space="preserve">Невинномысск</t>
  </si>
  <si>
    <t xml:space="preserve">Шушары</t>
  </si>
  <si>
    <t xml:space="preserve">Рязань</t>
  </si>
  <si>
    <t xml:space="preserve">Пенза</t>
  </si>
  <si>
    <t xml:space="preserve">Сарапул</t>
  </si>
  <si>
    <t xml:space="preserve">Волгоград</t>
  </si>
  <si>
    <t xml:space="preserve">Новосемейкино Самара</t>
  </si>
  <si>
    <t xml:space="preserve">Владимир</t>
  </si>
  <si>
    <t xml:space="preserve">Тула</t>
  </si>
  <si>
    <t xml:space="preserve">ЕКБ Перспективная</t>
  </si>
  <si>
    <t xml:space="preserve">Коледино</t>
  </si>
  <si>
    <t xml:space="preserve">Котовск</t>
  </si>
  <si>
    <t xml:space="preserve">Цена</t>
  </si>
  <si>
    <t xml:space="preserve">Итого шт</t>
  </si>
  <si>
    <t xml:space="preserve">Итого ₽</t>
  </si>
  <si>
    <t xml:space="preserve">Infinity Story</t>
  </si>
  <si>
    <t xml:space="preserve">Блузки</t>
  </si>
  <si>
    <t xml:space="preserve">БЛУЗКАКЕЙП/Белый</t>
  </si>
  <si>
    <t xml:space="preserve">890424550</t>
  </si>
  <si>
    <t xml:space="preserve">2049705238712</t>
  </si>
  <si>
    <t xml:space="preserve">XS-S</t>
  </si>
  <si>
    <t xml:space="preserve">2049705238736</t>
  </si>
  <si>
    <t xml:space="preserve">M-L</t>
  </si>
  <si>
    <t xml:space="preserve">2049705238729</t>
  </si>
  <si>
    <t xml:space="preserve">XL-XXL</t>
  </si>
  <si>
    <t xml:space="preserve">БЛУЗКАКЕЙП/Бордовый</t>
  </si>
  <si>
    <t xml:space="preserve">890432709</t>
  </si>
  <si>
    <t xml:space="preserve">2049705310210</t>
  </si>
  <si>
    <t xml:space="preserve">2049705310197</t>
  </si>
  <si>
    <t xml:space="preserve">2049705310203</t>
  </si>
  <si>
    <t xml:space="preserve">КЕЙПВУАЛЬ/Черный</t>
  </si>
  <si>
    <t xml:space="preserve">824672713</t>
  </si>
  <si>
    <t xml:space="preserve">2046448653932</t>
  </si>
  <si>
    <t xml:space="preserve">ONE SIZE</t>
  </si>
  <si>
    <t xml:space="preserve">КЕЙПВУАЛЬ/Шоколадный</t>
  </si>
  <si>
    <t xml:space="preserve">824664370</t>
  </si>
  <si>
    <t xml:space="preserve">2046448962607</t>
  </si>
  <si>
    <t xml:space="preserve">КЕЙПНАКИДКА/Белый</t>
  </si>
  <si>
    <t xml:space="preserve">831403025</t>
  </si>
  <si>
    <t xml:space="preserve">2049108835723</t>
  </si>
  <si>
    <t xml:space="preserve">КЕЙПНАКИДКА/Бордовый</t>
  </si>
  <si>
    <t xml:space="preserve">831415374</t>
  </si>
  <si>
    <t xml:space="preserve">2049108959375</t>
  </si>
  <si>
    <t xml:space="preserve">ЛОНГСЕТКА/бежевый</t>
  </si>
  <si>
    <t xml:space="preserve">915548724</t>
  </si>
  <si>
    <t xml:space="preserve">2039739681219</t>
  </si>
  <si>
    <t xml:space="preserve">M</t>
  </si>
  <si>
    <t xml:space="preserve">2039739681202</t>
  </si>
  <si>
    <t xml:space="preserve">L</t>
  </si>
  <si>
    <t xml:space="preserve">2039739681233</t>
  </si>
  <si>
    <t xml:space="preserve">XL</t>
  </si>
  <si>
    <t xml:space="preserve">ЛОНГСЕТКА/черный</t>
  </si>
  <si>
    <t xml:space="preserve">915543532</t>
  </si>
  <si>
    <t xml:space="preserve">2039739638237</t>
  </si>
  <si>
    <t xml:space="preserve">XS</t>
  </si>
  <si>
    <t xml:space="preserve">2039739638244</t>
  </si>
  <si>
    <t xml:space="preserve">S</t>
  </si>
  <si>
    <t xml:space="preserve">2039739638268</t>
  </si>
  <si>
    <t xml:space="preserve">2039739638275</t>
  </si>
  <si>
    <t xml:space="preserve">Брюки</t>
  </si>
  <si>
    <t xml:space="preserve">БРЮКИПОЛОСКА/Бежевый</t>
  </si>
  <si>
    <t xml:space="preserve">824584442</t>
  </si>
  <si>
    <t xml:space="preserve">2048742255379</t>
  </si>
  <si>
    <t xml:space="preserve">2048742255386</t>
  </si>
  <si>
    <t xml:space="preserve">БРЮКИПОЛОСКА/Коричневый</t>
  </si>
  <si>
    <t xml:space="preserve">824597933</t>
  </si>
  <si>
    <t xml:space="preserve">2048768718872</t>
  </si>
  <si>
    <t xml:space="preserve">2048768718858</t>
  </si>
  <si>
    <t xml:space="preserve">2048768718865</t>
  </si>
  <si>
    <t xml:space="preserve">Жилеты</t>
  </si>
  <si>
    <t xml:space="preserve">ЖИЛЕТКА/Бежевый</t>
  </si>
  <si>
    <t xml:space="preserve">915700564</t>
  </si>
  <si>
    <t xml:space="preserve">2038591635361</t>
  </si>
  <si>
    <t xml:space="preserve">2038591635378</t>
  </si>
  <si>
    <t xml:space="preserve">2038591635408</t>
  </si>
  <si>
    <t xml:space="preserve">ЖИЛЕТКА/Темно-серый</t>
  </si>
  <si>
    <t xml:space="preserve">915698461</t>
  </si>
  <si>
    <t xml:space="preserve">2041129314782</t>
  </si>
  <si>
    <t xml:space="preserve">2041129314768</t>
  </si>
  <si>
    <t xml:space="preserve">ЖИЛЕТКА/Черный</t>
  </si>
  <si>
    <t xml:space="preserve">915688094</t>
  </si>
  <si>
    <t xml:space="preserve">2038590753301</t>
  </si>
  <si>
    <t xml:space="preserve">2038590753318</t>
  </si>
  <si>
    <t xml:space="preserve">2038590753325</t>
  </si>
  <si>
    <t xml:space="preserve">2038590753332</t>
  </si>
  <si>
    <t xml:space="preserve">2038590753349</t>
  </si>
  <si>
    <t xml:space="preserve">2039582201725</t>
  </si>
  <si>
    <t xml:space="preserve">XXL</t>
  </si>
  <si>
    <t xml:space="preserve">Кардиганы</t>
  </si>
  <si>
    <t xml:space="preserve">КАРДИГАНДЛИН/бежевый</t>
  </si>
  <si>
    <t xml:space="preserve">824413362</t>
  </si>
  <si>
    <t xml:space="preserve">2036852572578</t>
  </si>
  <si>
    <t xml:space="preserve">XS-M</t>
  </si>
  <si>
    <t xml:space="preserve">2038538739534</t>
  </si>
  <si>
    <t xml:space="preserve">L-XXL</t>
  </si>
  <si>
    <t xml:space="preserve">КОФТАДИОР/Шоколадный</t>
  </si>
  <si>
    <t xml:space="preserve">824409755</t>
  </si>
  <si>
    <t xml:space="preserve">2044732970758</t>
  </si>
  <si>
    <t xml:space="preserve">Костюмы</t>
  </si>
  <si>
    <t xml:space="preserve">КОСТВОЛНА/Шоколадный</t>
  </si>
  <si>
    <t xml:space="preserve">848059668</t>
  </si>
  <si>
    <t xml:space="preserve">2043555813402</t>
  </si>
  <si>
    <t xml:space="preserve">КОСТЖИЛЕТ/бежевый</t>
  </si>
  <si>
    <t xml:space="preserve">824644290</t>
  </si>
  <si>
    <t xml:space="preserve">2036852563019</t>
  </si>
  <si>
    <t xml:space="preserve">КОСТЖИЛЕТ/черный</t>
  </si>
  <si>
    <t xml:space="preserve">824648148</t>
  </si>
  <si>
    <t xml:space="preserve">2038677417102</t>
  </si>
  <si>
    <t xml:space="preserve">2038677417119</t>
  </si>
  <si>
    <t xml:space="preserve">КОСТПЛАТЬЕ/Темно-зеленый</t>
  </si>
  <si>
    <t xml:space="preserve">824638149</t>
  </si>
  <si>
    <t xml:space="preserve">2045069530400</t>
  </si>
  <si>
    <t xml:space="preserve">2045069530394</t>
  </si>
  <si>
    <t xml:space="preserve">КОСТПЛАТЬЕ/Шоколадный</t>
  </si>
  <si>
    <t xml:space="preserve">824631003</t>
  </si>
  <si>
    <t xml:space="preserve">2045069498656</t>
  </si>
  <si>
    <t xml:space="preserve">2045069498649</t>
  </si>
  <si>
    <t xml:space="preserve">Кофты</t>
  </si>
  <si>
    <t xml:space="preserve">ДЖЕМПЕРПОЛОСКА/Бежевый</t>
  </si>
  <si>
    <t xml:space="preserve">824359363</t>
  </si>
  <si>
    <t xml:space="preserve">2044934207218</t>
  </si>
  <si>
    <t xml:space="preserve">КАРДИГАНЗАРА/Зеленый</t>
  </si>
  <si>
    <t xml:space="preserve">824296782</t>
  </si>
  <si>
    <t xml:space="preserve">2048742674781</t>
  </si>
  <si>
    <t xml:space="preserve">КАРДИГАНЗАРА/Молочный</t>
  </si>
  <si>
    <t xml:space="preserve">824293297</t>
  </si>
  <si>
    <t xml:space="preserve">2048742675863</t>
  </si>
  <si>
    <t xml:space="preserve">2048742675856</t>
  </si>
  <si>
    <t xml:space="preserve">КОФТААССИМЕТРИЯ/Коричневый</t>
  </si>
  <si>
    <t xml:space="preserve">824354236</t>
  </si>
  <si>
    <t xml:space="preserve">2045009393447</t>
  </si>
  <si>
    <t xml:space="preserve">2045009393430</t>
  </si>
  <si>
    <t xml:space="preserve">КОФТАВОЛНАКРОШЕ/Зеленый</t>
  </si>
  <si>
    <t xml:space="preserve">824321924</t>
  </si>
  <si>
    <t xml:space="preserve">2048742608779</t>
  </si>
  <si>
    <t xml:space="preserve">2048742608762</t>
  </si>
  <si>
    <t xml:space="preserve">КОФТАВОЛНАКРОШЕ/Синий</t>
  </si>
  <si>
    <t xml:space="preserve">824321925</t>
  </si>
  <si>
    <t xml:space="preserve">2048742431209</t>
  </si>
  <si>
    <t xml:space="preserve">2048742431193</t>
  </si>
  <si>
    <t xml:space="preserve">КОФТАДИОР/Молочный</t>
  </si>
  <si>
    <t xml:space="preserve">824366971</t>
  </si>
  <si>
    <t xml:space="preserve">2044469391482</t>
  </si>
  <si>
    <t xml:space="preserve">КОФТАКЛЕТКА/Голубой</t>
  </si>
  <si>
    <t xml:space="preserve">824323631</t>
  </si>
  <si>
    <t xml:space="preserve">2048742635140</t>
  </si>
  <si>
    <t xml:space="preserve">2048742635133</t>
  </si>
  <si>
    <t xml:space="preserve">КОФТАКЛЕТКА/Оранжевый</t>
  </si>
  <si>
    <t xml:space="preserve">824324795</t>
  </si>
  <si>
    <t xml:space="preserve">2048742625691</t>
  </si>
  <si>
    <t xml:space="preserve">2048742625684</t>
  </si>
  <si>
    <t xml:space="preserve">КОФТАКРОШЕ/Молочный</t>
  </si>
  <si>
    <t xml:space="preserve">824335968</t>
  </si>
  <si>
    <t xml:space="preserve">2042640819176</t>
  </si>
  <si>
    <t xml:space="preserve">КОФТАКРОШЕ/Шоколадный</t>
  </si>
  <si>
    <t xml:space="preserve">824338112</t>
  </si>
  <si>
    <t xml:space="preserve">2048437876209</t>
  </si>
  <si>
    <t xml:space="preserve">2048437876193</t>
  </si>
  <si>
    <t xml:space="preserve">КОФТАМИУПОЛОСКА/Синий</t>
  </si>
  <si>
    <t xml:space="preserve">831421887</t>
  </si>
  <si>
    <t xml:space="preserve">2049108997773</t>
  </si>
  <si>
    <t xml:space="preserve">2049108997766</t>
  </si>
  <si>
    <t xml:space="preserve">КОФТАМИУПОЛОСКА/Шоколадный</t>
  </si>
  <si>
    <t xml:space="preserve">831425408</t>
  </si>
  <si>
    <t xml:space="preserve">2049109038130</t>
  </si>
  <si>
    <t xml:space="preserve">2049109038123</t>
  </si>
  <si>
    <t xml:space="preserve">Куртки</t>
  </si>
  <si>
    <t xml:space="preserve">ВЕТРОВКА/Коричневый</t>
  </si>
  <si>
    <t xml:space="preserve">833609767</t>
  </si>
  <si>
    <t xml:space="preserve">2048026695594</t>
  </si>
  <si>
    <t xml:space="preserve">ВЕТРОВКА/Молочный</t>
  </si>
  <si>
    <t xml:space="preserve">833726060</t>
  </si>
  <si>
    <t xml:space="preserve">2048026671550</t>
  </si>
  <si>
    <t xml:space="preserve">Сарафаны</t>
  </si>
  <si>
    <t xml:space="preserve">САРАФАНБАЛОН/Молочный</t>
  </si>
  <si>
    <t xml:space="preserve">848079052</t>
  </si>
  <si>
    <t xml:space="preserve">2042774311812</t>
  </si>
  <si>
    <t xml:space="preserve">2042774311805</t>
  </si>
  <si>
    <t xml:space="preserve">САРАФАНБАЛОН/Черный</t>
  </si>
  <si>
    <t xml:space="preserve">848094763</t>
  </si>
  <si>
    <t xml:space="preserve">2042774282341</t>
  </si>
  <si>
    <t xml:space="preserve">САРАФАНВОРОТНИК/Бордовый</t>
  </si>
  <si>
    <t xml:space="preserve">831365903</t>
  </si>
  <si>
    <t xml:space="preserve">2049108495460</t>
  </si>
  <si>
    <t xml:space="preserve">2049108495446</t>
  </si>
  <si>
    <t xml:space="preserve">2049108495439</t>
  </si>
  <si>
    <t xml:space="preserve">2049108495422</t>
  </si>
  <si>
    <t xml:space="preserve">2049108495453</t>
  </si>
  <si>
    <t xml:space="preserve">САРАФАНВОРОТНИК/Сливочный</t>
  </si>
  <si>
    <t xml:space="preserve">831358342</t>
  </si>
  <si>
    <t xml:space="preserve">2049108461915</t>
  </si>
  <si>
    <t xml:space="preserve">2049108461946</t>
  </si>
  <si>
    <t xml:space="preserve">2049108461953</t>
  </si>
  <si>
    <t xml:space="preserve">САРАФАНЗАВЯЗКИ/Бежевый</t>
  </si>
  <si>
    <t xml:space="preserve">848295592</t>
  </si>
  <si>
    <t xml:space="preserve">2033018238651</t>
  </si>
  <si>
    <t xml:space="preserve">2037469651861</t>
  </si>
  <si>
    <t xml:space="preserve">2037932171025</t>
  </si>
  <si>
    <t xml:space="preserve">САРАФАНЗАВЯЗКИ/Голубой</t>
  </si>
  <si>
    <t xml:space="preserve">848171418</t>
  </si>
  <si>
    <t xml:space="preserve">2035633089632</t>
  </si>
  <si>
    <t xml:space="preserve">2035633089649</t>
  </si>
  <si>
    <t xml:space="preserve">2035633089656</t>
  </si>
  <si>
    <t xml:space="preserve">САРАФАНЗАВЯЗКИ/Серый</t>
  </si>
  <si>
    <t xml:space="preserve">848242561</t>
  </si>
  <si>
    <t xml:space="preserve">2039408986331</t>
  </si>
  <si>
    <t xml:space="preserve">2039408986362</t>
  </si>
  <si>
    <t xml:space="preserve">САРАФАНЗАВЯЗКИ/Фуксия</t>
  </si>
  <si>
    <t xml:space="preserve">848184741</t>
  </si>
  <si>
    <t xml:space="preserve">2033018380633</t>
  </si>
  <si>
    <t xml:space="preserve">2039859203513</t>
  </si>
  <si>
    <t xml:space="preserve">2039859203520</t>
  </si>
  <si>
    <t xml:space="preserve">САРАФАНЗАВЯЗКИ/Черный</t>
  </si>
  <si>
    <t xml:space="preserve">848160019</t>
  </si>
  <si>
    <t xml:space="preserve">2033018003631</t>
  </si>
  <si>
    <t xml:space="preserve">2033018003655</t>
  </si>
  <si>
    <t xml:space="preserve">2038239537620</t>
  </si>
  <si>
    <t xml:space="preserve">САРАФАНЗАВЯЗКИ/Шоколадный</t>
  </si>
  <si>
    <t xml:space="preserve">848143115</t>
  </si>
  <si>
    <t xml:space="preserve">2043081619721</t>
  </si>
  <si>
    <t xml:space="preserve">2043081619707</t>
  </si>
  <si>
    <t xml:space="preserve">2043081619752</t>
  </si>
  <si>
    <t xml:space="preserve">Топы</t>
  </si>
  <si>
    <t xml:space="preserve">ТОПАССИМЕТРИЯ/Горох</t>
  </si>
  <si>
    <t xml:space="preserve">831447712</t>
  </si>
  <si>
    <t xml:space="preserve">2049109238097</t>
  </si>
  <si>
    <t xml:space="preserve">2049109238110</t>
  </si>
  <si>
    <t xml:space="preserve">2049109238127</t>
  </si>
  <si>
    <t xml:space="preserve">ТОПАССИМЕТРИЯ/Цветы</t>
  </si>
  <si>
    <t xml:space="preserve">831456464</t>
  </si>
  <si>
    <t xml:space="preserve">2049109287286</t>
  </si>
  <si>
    <t xml:space="preserve">2049109287262</t>
  </si>
  <si>
    <t xml:space="preserve">2049109287279</t>
  </si>
  <si>
    <t xml:space="preserve">ТОПКРУЖЕВО/Белый</t>
  </si>
  <si>
    <t xml:space="preserve">890443978</t>
  </si>
  <si>
    <t xml:space="preserve">2049705365883</t>
  </si>
  <si>
    <t xml:space="preserve">2049705365869</t>
  </si>
  <si>
    <t xml:space="preserve">2049705365876</t>
  </si>
  <si>
    <t xml:space="preserve">ТОПКРУЖЕВО/Бордовый</t>
  </si>
  <si>
    <t xml:space="preserve">890461601</t>
  </si>
  <si>
    <t xml:space="preserve">2049705461998</t>
  </si>
  <si>
    <t xml:space="preserve">2049705461974</t>
  </si>
  <si>
    <t xml:space="preserve">2049705461981</t>
  </si>
  <si>
    <t xml:space="preserve">Юбки</t>
  </si>
  <si>
    <t xml:space="preserve">ЮБКАКОЖАМИДИ/черный</t>
  </si>
  <si>
    <t xml:space="preserve">835448955</t>
  </si>
  <si>
    <t xml:space="preserve">2042234243349</t>
  </si>
  <si>
    <t xml:space="preserve">2042234243325</t>
  </si>
  <si>
    <t xml:space="preserve">2042234243318</t>
  </si>
  <si>
    <t xml:space="preserve">2042234243301</t>
  </si>
  <si>
    <t xml:space="preserve">2042234243332</t>
  </si>
  <si>
    <t xml:space="preserve">ЮБКАМАКСИ/Темно-серый</t>
  </si>
  <si>
    <t xml:space="preserve">835469760</t>
  </si>
  <si>
    <t xml:space="preserve">2039356138479</t>
  </si>
  <si>
    <t xml:space="preserve">2039356138462</t>
  </si>
  <si>
    <t xml:space="preserve">ЮБКАМАКСИ/черный</t>
  </si>
  <si>
    <t xml:space="preserve">835465754</t>
  </si>
  <si>
    <t xml:space="preserve">2038757599094</t>
  </si>
  <si>
    <t xml:space="preserve">2038757599070</t>
  </si>
  <si>
    <t xml:space="preserve">2038757599063</t>
  </si>
  <si>
    <t xml:space="preserve">2038757599056</t>
  </si>
  <si>
    <t xml:space="preserve">2038757599087</t>
  </si>
  <si>
    <t xml:space="preserve">ИТОГО</t>
  </si>
  <si>
    <t xml:space="preserve">Как читать таблицу</t>
  </si>
  <si>
    <t xml:space="preserve">Столбцы складов = кол-во повреждённого товара по отчёту ВБ; название склада взято из имени файла, дата акта — в примечании к заголовку столбца.</t>
  </si>
  <si>
    <t xml:space="preserve">Цена — из файла «Цены ВБ» (синий текст = можно править). Итого ₽ = Цена × Итого шт. Итоги пересчитываются автоматически.</t>
  </si>
  <si>
    <t xml:space="preserve">Жёлтая ячейка цены — артикула нет в «Цены ВБ»: впиши цену, сумма посчитается сама. Таких строк: 19, шт без цены: </t>
  </si>
  <si>
    <t xml:space="preserve">Жёлтая ячейка баркода — в отчётах Краснодар / Невинномысск / Шушары баркод не выгружался, и такой пары «артикул WB + размер» нет на других складах. Строк: 6.</t>
  </si>
  <si>
    <t xml:space="preserve">Размеры «ONESIZE» и «ONE SIZE» объединены в «ONE SIZE». Предмет для КОФТАДИОР взят из выгрузки ВБ («Кофты»), в прайсе он числится как «Кардиганы».</t>
  </si>
  <si>
    <t xml:space="preserve">Склад</t>
  </si>
  <si>
    <t xml:space="preserve">Дата акта</t>
  </si>
  <si>
    <t xml:space="preserve">Итого в исходном файле</t>
  </si>
  <si>
    <t xml:space="preserve">Итого в сводной</t>
  </si>
  <si>
    <t xml:space="preserve">Разница</t>
  </si>
  <si>
    <t xml:space="preserve">17.07</t>
  </si>
  <si>
    <t xml:space="preserve">22.07</t>
  </si>
  <si>
    <t xml:space="preserve">24.07</t>
  </si>
  <si>
    <t xml:space="preserve">29.07</t>
  </si>
  <si>
    <t xml:space="preserve">30.07</t>
  </si>
  <si>
    <t xml:space="preserve">31.07</t>
  </si>
  <si>
    <t xml:space="preserve">02.08</t>
  </si>
  <si>
    <t xml:space="preserve">03.08</t>
  </si>
  <si>
    <t xml:space="preserve">05.08</t>
  </si>
  <si>
    <t xml:space="preserve">07.08</t>
  </si>
  <si>
    <t xml:space="preserve">16.08</t>
  </si>
  <si>
    <t xml:space="preserve">26.08</t>
  </si>
  <si>
    <t xml:space="preserve">«Итого в исходном файле» — контрольная строка внизу каждого файла ВБ (введено вручную из файлов). Разница должна быть 0.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</si>
</sst>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G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20" min="7" style="0" width="11"/>
    <col collapsed="false" customWidth="true" hidden="false" outlineLevel="0" max="22" min="21" style="0" width="12"/>
    <col collapsed="false" customWidth="true" hidden="false" outlineLevel="0" max="23" min="23" style="0" width="13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3" t="s">
        <v>23</v>
      </c>
      <c r="B2" s="3" t="s">
        <v>24</v>
      </c>
      <c r="C2" s="3" t="s">
        <v>25</v>
      </c>
      <c r="D2" s="4" t="s">
        <v>26</v>
      </c>
      <c r="E2" s="4" t="s">
        <v>27</v>
      </c>
      <c r="F2" s="3" t="s">
        <v>28</v>
      </c>
      <c r="G2" s="5" t="n">
        <v>1</v>
      </c>
      <c r="H2" s="5"/>
      <c r="I2" s="5"/>
      <c r="J2" s="5" t="n">
        <v>2</v>
      </c>
      <c r="K2" s="5"/>
      <c r="L2" s="5"/>
      <c r="M2" s="5"/>
      <c r="N2" s="5"/>
      <c r="O2" s="5" t="n">
        <v>1</v>
      </c>
      <c r="P2" s="5"/>
      <c r="Q2" s="5" t="n">
        <v>2</v>
      </c>
      <c r="R2" s="5"/>
      <c r="S2" s="5"/>
      <c r="T2" s="5"/>
      <c r="U2" s="6" t="n">
        <v>2390</v>
      </c>
      <c r="V2" s="7" t="n">
        <f aca="false">SUM(G2:T2)</f>
        <v>6</v>
      </c>
      <c r="W2" s="8" t="n">
        <f aca="false">IF(U2="","",U2*V2)</f>
        <v>14340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4" t="s">
        <v>26</v>
      </c>
      <c r="E3" s="4" t="s">
        <v>29</v>
      </c>
      <c r="F3" s="3" t="s">
        <v>30</v>
      </c>
      <c r="G3" s="5"/>
      <c r="H3" s="5"/>
      <c r="I3" s="5" t="n">
        <v>1</v>
      </c>
      <c r="J3" s="5"/>
      <c r="K3" s="5" t="n">
        <v>1</v>
      </c>
      <c r="L3" s="5"/>
      <c r="M3" s="5"/>
      <c r="N3" s="5"/>
      <c r="O3" s="5"/>
      <c r="P3" s="5" t="n">
        <v>1</v>
      </c>
      <c r="Q3" s="5"/>
      <c r="R3" s="5"/>
      <c r="S3" s="5"/>
      <c r="T3" s="5"/>
      <c r="U3" s="6" t="n">
        <v>2390</v>
      </c>
      <c r="V3" s="7" t="n">
        <f aca="false">SUM(G3:T3)</f>
        <v>3</v>
      </c>
      <c r="W3" s="8" t="n">
        <f aca="false">IF(U3="","",U3*V3)</f>
        <v>7170</v>
      </c>
    </row>
    <row r="4" customFormat="false" ht="15" hidden="false" customHeight="false" outlineLevel="0" collapsed="false">
      <c r="A4" s="3" t="s">
        <v>23</v>
      </c>
      <c r="B4" s="3" t="s">
        <v>24</v>
      </c>
      <c r="C4" s="3" t="s">
        <v>25</v>
      </c>
      <c r="D4" s="4" t="s">
        <v>26</v>
      </c>
      <c r="E4" s="4" t="s">
        <v>31</v>
      </c>
      <c r="F4" s="3" t="s">
        <v>32</v>
      </c>
      <c r="G4" s="5"/>
      <c r="H4" s="5"/>
      <c r="I4" s="5"/>
      <c r="J4" s="5"/>
      <c r="K4" s="5" t="n">
        <v>1</v>
      </c>
      <c r="L4" s="5"/>
      <c r="M4" s="5"/>
      <c r="N4" s="5"/>
      <c r="O4" s="5"/>
      <c r="P4" s="5"/>
      <c r="Q4" s="5" t="n">
        <v>1</v>
      </c>
      <c r="R4" s="5"/>
      <c r="S4" s="5"/>
      <c r="T4" s="5"/>
      <c r="U4" s="6" t="n">
        <v>2390</v>
      </c>
      <c r="V4" s="7" t="n">
        <f aca="false">SUM(G4:T4)</f>
        <v>2</v>
      </c>
      <c r="W4" s="8" t="n">
        <f aca="false">IF(U4="","",U4*V4)</f>
        <v>4780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33</v>
      </c>
      <c r="D5" s="4" t="s">
        <v>34</v>
      </c>
      <c r="E5" s="4" t="s">
        <v>35</v>
      </c>
      <c r="F5" s="3" t="s">
        <v>28</v>
      </c>
      <c r="G5" s="5" t="n">
        <v>2</v>
      </c>
      <c r="H5" s="5"/>
      <c r="I5" s="5"/>
      <c r="J5" s="5" t="n">
        <v>1</v>
      </c>
      <c r="K5" s="5"/>
      <c r="L5" s="5"/>
      <c r="M5" s="5"/>
      <c r="N5" s="5"/>
      <c r="O5" s="5"/>
      <c r="P5" s="5"/>
      <c r="Q5" s="5" t="n">
        <v>34</v>
      </c>
      <c r="R5" s="5"/>
      <c r="S5" s="5"/>
      <c r="T5" s="5" t="n">
        <v>1</v>
      </c>
      <c r="U5" s="6" t="n">
        <v>2390</v>
      </c>
      <c r="V5" s="7" t="n">
        <f aca="false">SUM(G5:T5)</f>
        <v>38</v>
      </c>
      <c r="W5" s="8" t="n">
        <f aca="false">IF(U5="","",U5*V5)</f>
        <v>90820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33</v>
      </c>
      <c r="D6" s="4" t="s">
        <v>34</v>
      </c>
      <c r="E6" s="4" t="s">
        <v>36</v>
      </c>
      <c r="F6" s="3" t="s">
        <v>30</v>
      </c>
      <c r="G6" s="5"/>
      <c r="H6" s="5"/>
      <c r="I6" s="5" t="n">
        <v>2</v>
      </c>
      <c r="J6" s="5"/>
      <c r="K6" s="5" t="n">
        <v>1</v>
      </c>
      <c r="L6" s="5"/>
      <c r="M6" s="5" t="n">
        <v>1</v>
      </c>
      <c r="N6" s="5"/>
      <c r="O6" s="5" t="n">
        <v>1</v>
      </c>
      <c r="P6" s="5" t="n">
        <v>2</v>
      </c>
      <c r="Q6" s="5" t="n">
        <v>9</v>
      </c>
      <c r="R6" s="5"/>
      <c r="S6" s="5"/>
      <c r="T6" s="5"/>
      <c r="U6" s="6" t="n">
        <v>2390</v>
      </c>
      <c r="V6" s="7" t="n">
        <f aca="false">SUM(G6:T6)</f>
        <v>16</v>
      </c>
      <c r="W6" s="8" t="n">
        <f aca="false">IF(U6="","",U6*V6)</f>
        <v>38240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33</v>
      </c>
      <c r="D7" s="4" t="s">
        <v>34</v>
      </c>
      <c r="E7" s="4" t="s">
        <v>37</v>
      </c>
      <c r="F7" s="3" t="s">
        <v>32</v>
      </c>
      <c r="G7" s="5"/>
      <c r="H7" s="5"/>
      <c r="I7" s="5" t="n">
        <v>1</v>
      </c>
      <c r="J7" s="5" t="n">
        <v>1</v>
      </c>
      <c r="K7" s="5" t="n">
        <v>1</v>
      </c>
      <c r="L7" s="5"/>
      <c r="M7" s="5" t="n">
        <v>1</v>
      </c>
      <c r="N7" s="5"/>
      <c r="O7" s="5"/>
      <c r="P7" s="5"/>
      <c r="Q7" s="5"/>
      <c r="R7" s="5"/>
      <c r="S7" s="5"/>
      <c r="T7" s="5"/>
      <c r="U7" s="6" t="n">
        <v>2390</v>
      </c>
      <c r="V7" s="7" t="n">
        <f aca="false">SUM(G7:T7)</f>
        <v>4</v>
      </c>
      <c r="W7" s="8" t="n">
        <f aca="false">IF(U7="","",U7*V7)</f>
        <v>9560</v>
      </c>
    </row>
    <row r="8" customFormat="false" ht="15" hidden="false" customHeight="false" outlineLevel="0" collapsed="false">
      <c r="A8" s="3" t="s">
        <v>23</v>
      </c>
      <c r="B8" s="3" t="s">
        <v>24</v>
      </c>
      <c r="C8" s="3" t="s">
        <v>38</v>
      </c>
      <c r="D8" s="4" t="s">
        <v>39</v>
      </c>
      <c r="E8" s="4" t="s">
        <v>40</v>
      </c>
      <c r="F8" s="3" t="s">
        <v>41</v>
      </c>
      <c r="G8" s="5"/>
      <c r="H8" s="5"/>
      <c r="I8" s="5"/>
      <c r="J8" s="5"/>
      <c r="K8" s="5"/>
      <c r="L8" s="5"/>
      <c r="M8" s="5"/>
      <c r="N8" s="5"/>
      <c r="O8" s="5"/>
      <c r="P8" s="5" t="n">
        <v>1</v>
      </c>
      <c r="Q8" s="5"/>
      <c r="R8" s="5"/>
      <c r="S8" s="5" t="n">
        <v>1</v>
      </c>
      <c r="T8" s="5"/>
      <c r="U8" s="6" t="n">
        <v>2520</v>
      </c>
      <c r="V8" s="7" t="n">
        <f aca="false">SUM(G8:T8)</f>
        <v>2</v>
      </c>
      <c r="W8" s="8" t="n">
        <f aca="false">IF(U8="","",U8*V8)</f>
        <v>5040</v>
      </c>
    </row>
    <row r="9" customFormat="false" ht="15" hidden="false" customHeight="false" outlineLevel="0" collapsed="false">
      <c r="A9" s="3" t="s">
        <v>23</v>
      </c>
      <c r="B9" s="3" t="s">
        <v>24</v>
      </c>
      <c r="C9" s="3" t="s">
        <v>42</v>
      </c>
      <c r="D9" s="4" t="s">
        <v>43</v>
      </c>
      <c r="E9" s="4" t="s">
        <v>44</v>
      </c>
      <c r="F9" s="3" t="s">
        <v>41</v>
      </c>
      <c r="G9" s="5" t="n">
        <v>1</v>
      </c>
      <c r="H9" s="5"/>
      <c r="I9" s="5"/>
      <c r="J9" s="5" t="n">
        <v>1</v>
      </c>
      <c r="K9" s="5" t="n">
        <v>6</v>
      </c>
      <c r="L9" s="5"/>
      <c r="M9" s="5" t="n">
        <v>2</v>
      </c>
      <c r="N9" s="5" t="n">
        <v>1</v>
      </c>
      <c r="O9" s="5" t="n">
        <v>1</v>
      </c>
      <c r="P9" s="5"/>
      <c r="Q9" s="5"/>
      <c r="R9" s="5"/>
      <c r="S9" s="5"/>
      <c r="T9" s="5"/>
      <c r="U9" s="6" t="n">
        <v>2100</v>
      </c>
      <c r="V9" s="7" t="n">
        <f aca="false">SUM(G9:T9)</f>
        <v>12</v>
      </c>
      <c r="W9" s="8" t="n">
        <f aca="false">IF(U9="","",U9*V9)</f>
        <v>25200</v>
      </c>
    </row>
    <row r="10" customFormat="false" ht="15" hidden="false" customHeight="false" outlineLevel="0" collapsed="false">
      <c r="A10" s="3" t="s">
        <v>23</v>
      </c>
      <c r="B10" s="3" t="s">
        <v>24</v>
      </c>
      <c r="C10" s="3" t="s">
        <v>45</v>
      </c>
      <c r="D10" s="4" t="s">
        <v>46</v>
      </c>
      <c r="E10" s="4" t="s">
        <v>47</v>
      </c>
      <c r="F10" s="3" t="s">
        <v>41</v>
      </c>
      <c r="G10" s="5"/>
      <c r="H10" s="5"/>
      <c r="I10" s="5"/>
      <c r="J10" s="5" t="n">
        <v>2</v>
      </c>
      <c r="K10" s="5" t="n">
        <v>1</v>
      </c>
      <c r="L10" s="5" t="n">
        <v>1</v>
      </c>
      <c r="M10" s="5"/>
      <c r="N10" s="5"/>
      <c r="O10" s="5"/>
      <c r="P10" s="5" t="n">
        <v>1</v>
      </c>
      <c r="Q10" s="5"/>
      <c r="R10" s="5" t="n">
        <v>1</v>
      </c>
      <c r="S10" s="5"/>
      <c r="T10" s="5"/>
      <c r="U10" s="6" t="n">
        <v>2950</v>
      </c>
      <c r="V10" s="7" t="n">
        <f aca="false">SUM(G10:T10)</f>
        <v>6</v>
      </c>
      <c r="W10" s="8" t="n">
        <f aca="false">IF(U10="","",U10*V10)</f>
        <v>17700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48</v>
      </c>
      <c r="D11" s="4" t="s">
        <v>49</v>
      </c>
      <c r="E11" s="4" t="s">
        <v>50</v>
      </c>
      <c r="F11" s="3" t="s">
        <v>41</v>
      </c>
      <c r="G11" s="5" t="n">
        <v>1</v>
      </c>
      <c r="H11" s="5"/>
      <c r="I11" s="5"/>
      <c r="J11" s="5"/>
      <c r="K11" s="5" t="n">
        <v>2</v>
      </c>
      <c r="L11" s="5"/>
      <c r="M11" s="5" t="n">
        <v>1</v>
      </c>
      <c r="N11" s="5"/>
      <c r="O11" s="5" t="n">
        <v>1</v>
      </c>
      <c r="P11" s="5" t="n">
        <v>2</v>
      </c>
      <c r="Q11" s="5" t="n">
        <v>2</v>
      </c>
      <c r="R11" s="5" t="n">
        <v>1</v>
      </c>
      <c r="S11" s="5" t="n">
        <v>1</v>
      </c>
      <c r="T11" s="5"/>
      <c r="U11" s="6" t="n">
        <v>2950</v>
      </c>
      <c r="V11" s="7" t="n">
        <f aca="false">SUM(G11:T11)</f>
        <v>11</v>
      </c>
      <c r="W11" s="8" t="n">
        <f aca="false">IF(U11="","",U11*V11)</f>
        <v>32450</v>
      </c>
    </row>
    <row r="12" customFormat="false" ht="15" hidden="false" customHeight="false" outlineLevel="0" collapsed="false">
      <c r="A12" s="3" t="s">
        <v>23</v>
      </c>
      <c r="B12" s="3" t="s">
        <v>24</v>
      </c>
      <c r="C12" s="3" t="s">
        <v>51</v>
      </c>
      <c r="D12" s="4" t="s">
        <v>52</v>
      </c>
      <c r="E12" s="4" t="s">
        <v>53</v>
      </c>
      <c r="F12" s="3" t="s">
        <v>54</v>
      </c>
      <c r="G12" s="5"/>
      <c r="H12" s="5"/>
      <c r="I12" s="5"/>
      <c r="J12" s="5"/>
      <c r="K12" s="5"/>
      <c r="L12" s="5"/>
      <c r="M12" s="5"/>
      <c r="N12" s="5"/>
      <c r="O12" s="5" t="n">
        <v>1</v>
      </c>
      <c r="P12" s="5"/>
      <c r="Q12" s="5" t="n">
        <v>5</v>
      </c>
      <c r="R12" s="5" t="n">
        <v>1</v>
      </c>
      <c r="S12" s="5"/>
      <c r="T12" s="5"/>
      <c r="U12" s="6" t="n">
        <v>1440</v>
      </c>
      <c r="V12" s="7" t="n">
        <f aca="false">SUM(G12:T12)</f>
        <v>7</v>
      </c>
      <c r="W12" s="8" t="n">
        <f aca="false">IF(U12="","",U12*V12)</f>
        <v>10080</v>
      </c>
    </row>
    <row r="13" customFormat="false" ht="15" hidden="false" customHeight="false" outlineLevel="0" collapsed="false">
      <c r="A13" s="3" t="s">
        <v>23</v>
      </c>
      <c r="B13" s="3" t="s">
        <v>24</v>
      </c>
      <c r="C13" s="3" t="s">
        <v>51</v>
      </c>
      <c r="D13" s="4" t="s">
        <v>52</v>
      </c>
      <c r="E13" s="4" t="s">
        <v>55</v>
      </c>
      <c r="F13" s="3" t="s">
        <v>56</v>
      </c>
      <c r="G13" s="5"/>
      <c r="H13" s="5" t="n">
        <v>1</v>
      </c>
      <c r="I13" s="5"/>
      <c r="J13" s="5"/>
      <c r="K13" s="5"/>
      <c r="L13" s="5"/>
      <c r="M13" s="5"/>
      <c r="N13" s="5"/>
      <c r="O13" s="5"/>
      <c r="P13" s="5"/>
      <c r="Q13" s="5" t="n">
        <v>14</v>
      </c>
      <c r="R13" s="5"/>
      <c r="S13" s="5"/>
      <c r="T13" s="5"/>
      <c r="U13" s="6" t="n">
        <v>1440</v>
      </c>
      <c r="V13" s="7" t="n">
        <f aca="false">SUM(G13:T13)</f>
        <v>15</v>
      </c>
      <c r="W13" s="8" t="n">
        <f aca="false">IF(U13="","",U13*V13)</f>
        <v>21600</v>
      </c>
    </row>
    <row r="14" customFormat="false" ht="15" hidden="false" customHeight="false" outlineLevel="0" collapsed="false">
      <c r="A14" s="3" t="s">
        <v>23</v>
      </c>
      <c r="B14" s="3" t="s">
        <v>24</v>
      </c>
      <c r="C14" s="3" t="s">
        <v>51</v>
      </c>
      <c r="D14" s="4" t="s">
        <v>52</v>
      </c>
      <c r="E14" s="4" t="s">
        <v>57</v>
      </c>
      <c r="F14" s="3" t="s">
        <v>58</v>
      </c>
      <c r="G14" s="5" t="n">
        <v>2</v>
      </c>
      <c r="H14" s="5"/>
      <c r="I14" s="5"/>
      <c r="J14" s="5"/>
      <c r="K14" s="5"/>
      <c r="L14" s="5"/>
      <c r="M14" s="5"/>
      <c r="N14" s="5"/>
      <c r="O14" s="5"/>
      <c r="P14" s="5"/>
      <c r="Q14" s="5" t="n">
        <v>2</v>
      </c>
      <c r="R14" s="5"/>
      <c r="S14" s="5"/>
      <c r="T14" s="5"/>
      <c r="U14" s="6" t="n">
        <v>1440</v>
      </c>
      <c r="V14" s="7" t="n">
        <f aca="false">SUM(G14:T14)</f>
        <v>4</v>
      </c>
      <c r="W14" s="8" t="n">
        <f aca="false">IF(U14="","",U14*V14)</f>
        <v>5760</v>
      </c>
    </row>
    <row r="15" customFormat="false" ht="15" hidden="false" customHeight="false" outlineLevel="0" collapsed="false">
      <c r="A15" s="3" t="s">
        <v>23</v>
      </c>
      <c r="B15" s="3" t="s">
        <v>24</v>
      </c>
      <c r="C15" s="3" t="s">
        <v>59</v>
      </c>
      <c r="D15" s="4" t="s">
        <v>60</v>
      </c>
      <c r="E15" s="4" t="s">
        <v>61</v>
      </c>
      <c r="F15" s="3" t="s">
        <v>62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 t="n">
        <v>12</v>
      </c>
      <c r="R15" s="5"/>
      <c r="S15" s="5"/>
      <c r="T15" s="5"/>
      <c r="U15" s="6" t="n">
        <v>1440</v>
      </c>
      <c r="V15" s="7" t="n">
        <f aca="false">SUM(G15:T15)</f>
        <v>12</v>
      </c>
      <c r="W15" s="8" t="n">
        <f aca="false">IF(U15="","",U15*V15)</f>
        <v>17280</v>
      </c>
    </row>
    <row r="16" customFormat="false" ht="15" hidden="false" customHeight="false" outlineLevel="0" collapsed="false">
      <c r="A16" s="3" t="s">
        <v>23</v>
      </c>
      <c r="B16" s="3" t="s">
        <v>24</v>
      </c>
      <c r="C16" s="3" t="s">
        <v>59</v>
      </c>
      <c r="D16" s="4" t="s">
        <v>60</v>
      </c>
      <c r="E16" s="4" t="s">
        <v>63</v>
      </c>
      <c r="F16" s="3" t="s">
        <v>64</v>
      </c>
      <c r="G16" s="5"/>
      <c r="H16" s="5"/>
      <c r="I16" s="5"/>
      <c r="J16" s="5"/>
      <c r="K16" s="5" t="n">
        <v>1</v>
      </c>
      <c r="L16" s="5"/>
      <c r="M16" s="5"/>
      <c r="N16" s="5"/>
      <c r="O16" s="5"/>
      <c r="P16" s="5"/>
      <c r="Q16" s="5"/>
      <c r="R16" s="5"/>
      <c r="S16" s="5"/>
      <c r="T16" s="5"/>
      <c r="U16" s="6" t="n">
        <v>1440</v>
      </c>
      <c r="V16" s="7" t="n">
        <f aca="false">SUM(G16:T16)</f>
        <v>1</v>
      </c>
      <c r="W16" s="8" t="n">
        <f aca="false">IF(U16="","",U16*V16)</f>
        <v>1440</v>
      </c>
    </row>
    <row r="17" customFormat="false" ht="15" hidden="false" customHeight="false" outlineLevel="0" collapsed="false">
      <c r="A17" s="3" t="s">
        <v>23</v>
      </c>
      <c r="B17" s="3" t="s">
        <v>24</v>
      </c>
      <c r="C17" s="3" t="s">
        <v>59</v>
      </c>
      <c r="D17" s="4" t="s">
        <v>60</v>
      </c>
      <c r="E17" s="4" t="s">
        <v>65</v>
      </c>
      <c r="F17" s="3" t="s">
        <v>56</v>
      </c>
      <c r="G17" s="5" t="n">
        <v>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 t="n">
        <v>1440</v>
      </c>
      <c r="V17" s="7" t="n">
        <f aca="false">SUM(G17:T17)</f>
        <v>2</v>
      </c>
      <c r="W17" s="8" t="n">
        <f aca="false">IF(U17="","",U17*V17)</f>
        <v>2880</v>
      </c>
    </row>
    <row r="18" customFormat="false" ht="15" hidden="false" customHeight="false" outlineLevel="0" collapsed="false">
      <c r="A18" s="3" t="s">
        <v>23</v>
      </c>
      <c r="B18" s="3" t="s">
        <v>24</v>
      </c>
      <c r="C18" s="3" t="s">
        <v>59</v>
      </c>
      <c r="D18" s="4" t="s">
        <v>60</v>
      </c>
      <c r="E18" s="4" t="s">
        <v>66</v>
      </c>
      <c r="F18" s="3" t="s">
        <v>58</v>
      </c>
      <c r="G18" s="5" t="n">
        <v>1</v>
      </c>
      <c r="H18" s="5" t="n">
        <v>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6" t="n">
        <v>1440</v>
      </c>
      <c r="V18" s="7" t="n">
        <f aca="false">SUM(G18:T18)</f>
        <v>2</v>
      </c>
      <c r="W18" s="8" t="n">
        <f aca="false">IF(U18="","",U18*V18)</f>
        <v>2880</v>
      </c>
    </row>
    <row r="19" customFormat="false" ht="15" hidden="false" customHeight="false" outlineLevel="0" collapsed="false">
      <c r="A19" s="3" t="s">
        <v>23</v>
      </c>
      <c r="B19" s="3" t="s">
        <v>67</v>
      </c>
      <c r="C19" s="3" t="s">
        <v>68</v>
      </c>
      <c r="D19" s="4" t="s">
        <v>69</v>
      </c>
      <c r="E19" s="4" t="s">
        <v>70</v>
      </c>
      <c r="F19" s="3" t="s">
        <v>30</v>
      </c>
      <c r="G19" s="5"/>
      <c r="H19" s="5"/>
      <c r="I19" s="5"/>
      <c r="J19" s="5" t="n">
        <v>1</v>
      </c>
      <c r="K19" s="5"/>
      <c r="L19" s="5"/>
      <c r="M19" s="5"/>
      <c r="N19" s="5"/>
      <c r="O19" s="5"/>
      <c r="P19" s="5"/>
      <c r="Q19" s="5" t="n">
        <v>1</v>
      </c>
      <c r="R19" s="5"/>
      <c r="S19" s="5"/>
      <c r="T19" s="5" t="n">
        <v>1</v>
      </c>
      <c r="U19" s="6" t="n">
        <v>2790</v>
      </c>
      <c r="V19" s="7" t="n">
        <f aca="false">SUM(G19:T19)</f>
        <v>3</v>
      </c>
      <c r="W19" s="8" t="n">
        <f aca="false">IF(U19="","",U19*V19)</f>
        <v>8370</v>
      </c>
    </row>
    <row r="20" customFormat="false" ht="15" hidden="false" customHeight="false" outlineLevel="0" collapsed="false">
      <c r="A20" s="3" t="s">
        <v>23</v>
      </c>
      <c r="B20" s="3" t="s">
        <v>67</v>
      </c>
      <c r="C20" s="3" t="s">
        <v>68</v>
      </c>
      <c r="D20" s="4" t="s">
        <v>69</v>
      </c>
      <c r="E20" s="4" t="s">
        <v>71</v>
      </c>
      <c r="F20" s="3" t="s">
        <v>32</v>
      </c>
      <c r="G20" s="5" t="n">
        <v>1</v>
      </c>
      <c r="H20" s="5"/>
      <c r="I20" s="5"/>
      <c r="J20" s="5"/>
      <c r="K20" s="5" t="n">
        <v>1</v>
      </c>
      <c r="L20" s="5"/>
      <c r="M20" s="5"/>
      <c r="N20" s="5"/>
      <c r="O20" s="5"/>
      <c r="P20" s="5"/>
      <c r="Q20" s="5" t="n">
        <v>1</v>
      </c>
      <c r="R20" s="5"/>
      <c r="S20" s="5"/>
      <c r="T20" s="5"/>
      <c r="U20" s="6" t="n">
        <v>2790</v>
      </c>
      <c r="V20" s="7" t="n">
        <f aca="false">SUM(G20:T20)</f>
        <v>3</v>
      </c>
      <c r="W20" s="8" t="n">
        <f aca="false">IF(U20="","",U20*V20)</f>
        <v>8370</v>
      </c>
    </row>
    <row r="21" customFormat="false" ht="15" hidden="false" customHeight="false" outlineLevel="0" collapsed="false">
      <c r="A21" s="3" t="s">
        <v>23</v>
      </c>
      <c r="B21" s="3" t="s">
        <v>67</v>
      </c>
      <c r="C21" s="3" t="s">
        <v>72</v>
      </c>
      <c r="D21" s="4" t="s">
        <v>73</v>
      </c>
      <c r="E21" s="4" t="s">
        <v>74</v>
      </c>
      <c r="F21" s="3" t="s">
        <v>28</v>
      </c>
      <c r="G21" s="5" t="n">
        <v>1</v>
      </c>
      <c r="H21" s="5"/>
      <c r="I21" s="5"/>
      <c r="J21" s="5"/>
      <c r="K21" s="5" t="n">
        <v>1</v>
      </c>
      <c r="L21" s="5"/>
      <c r="M21" s="5"/>
      <c r="N21" s="5"/>
      <c r="O21" s="5"/>
      <c r="P21" s="5"/>
      <c r="Q21" s="5"/>
      <c r="R21" s="5"/>
      <c r="S21" s="5"/>
      <c r="T21" s="5"/>
      <c r="U21" s="6" t="n">
        <v>2790</v>
      </c>
      <c r="V21" s="7" t="n">
        <f aca="false">SUM(G21:T21)</f>
        <v>2</v>
      </c>
      <c r="W21" s="8" t="n">
        <f aca="false">IF(U21="","",U21*V21)</f>
        <v>5580</v>
      </c>
    </row>
    <row r="22" customFormat="false" ht="15" hidden="false" customHeight="false" outlineLevel="0" collapsed="false">
      <c r="A22" s="3" t="s">
        <v>23</v>
      </c>
      <c r="B22" s="3" t="s">
        <v>67</v>
      </c>
      <c r="C22" s="3" t="s">
        <v>72</v>
      </c>
      <c r="D22" s="4" t="s">
        <v>73</v>
      </c>
      <c r="E22" s="4" t="s">
        <v>75</v>
      </c>
      <c r="F22" s="3" t="s">
        <v>30</v>
      </c>
      <c r="G22" s="5"/>
      <c r="H22" s="5"/>
      <c r="I22" s="5"/>
      <c r="J22" s="5"/>
      <c r="K22" s="5" t="n">
        <v>1</v>
      </c>
      <c r="L22" s="5"/>
      <c r="M22" s="5" t="n">
        <v>1</v>
      </c>
      <c r="N22" s="5"/>
      <c r="O22" s="5" t="n">
        <v>1</v>
      </c>
      <c r="P22" s="5"/>
      <c r="Q22" s="5"/>
      <c r="R22" s="5"/>
      <c r="S22" s="5"/>
      <c r="T22" s="5"/>
      <c r="U22" s="6" t="n">
        <v>2790</v>
      </c>
      <c r="V22" s="7" t="n">
        <f aca="false">SUM(G22:T22)</f>
        <v>3</v>
      </c>
      <c r="W22" s="8" t="n">
        <f aca="false">IF(U22="","",U22*V22)</f>
        <v>8370</v>
      </c>
    </row>
    <row r="23" customFormat="false" ht="15" hidden="false" customHeight="false" outlineLevel="0" collapsed="false">
      <c r="A23" s="3" t="s">
        <v>23</v>
      </c>
      <c r="B23" s="3" t="s">
        <v>67</v>
      </c>
      <c r="C23" s="3" t="s">
        <v>72</v>
      </c>
      <c r="D23" s="4" t="s">
        <v>73</v>
      </c>
      <c r="E23" s="4" t="s">
        <v>76</v>
      </c>
      <c r="F23" s="3" t="s">
        <v>32</v>
      </c>
      <c r="G23" s="5"/>
      <c r="H23" s="5"/>
      <c r="I23" s="5"/>
      <c r="J23" s="5" t="n">
        <v>1</v>
      </c>
      <c r="K23" s="5"/>
      <c r="L23" s="5"/>
      <c r="M23" s="5"/>
      <c r="N23" s="5"/>
      <c r="O23" s="5"/>
      <c r="P23" s="5"/>
      <c r="Q23" s="5" t="n">
        <v>1</v>
      </c>
      <c r="R23" s="5"/>
      <c r="S23" s="5"/>
      <c r="T23" s="5"/>
      <c r="U23" s="6" t="n">
        <v>2790</v>
      </c>
      <c r="V23" s="7" t="n">
        <f aca="false">SUM(G23:T23)</f>
        <v>2</v>
      </c>
      <c r="W23" s="8" t="n">
        <f aca="false">IF(U23="","",U23*V23)</f>
        <v>5580</v>
      </c>
    </row>
    <row r="24" customFormat="false" ht="15" hidden="false" customHeight="false" outlineLevel="0" collapsed="false">
      <c r="A24" s="3" t="s">
        <v>23</v>
      </c>
      <c r="B24" s="3" t="s">
        <v>77</v>
      </c>
      <c r="C24" s="3" t="s">
        <v>78</v>
      </c>
      <c r="D24" s="4" t="s">
        <v>79</v>
      </c>
      <c r="E24" s="4" t="s">
        <v>80</v>
      </c>
      <c r="F24" s="3" t="s">
        <v>62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 t="n">
        <v>1</v>
      </c>
      <c r="R24" s="5"/>
      <c r="S24" s="5" t="n">
        <v>1</v>
      </c>
      <c r="T24" s="5"/>
      <c r="U24" s="6" t="n">
        <v>1600</v>
      </c>
      <c r="V24" s="7" t="n">
        <f aca="false">SUM(G24:T24)</f>
        <v>2</v>
      </c>
      <c r="W24" s="8" t="n">
        <f aca="false">IF(U24="","",U24*V24)</f>
        <v>3200</v>
      </c>
    </row>
    <row r="25" customFormat="false" ht="15" hidden="false" customHeight="false" outlineLevel="0" collapsed="false">
      <c r="A25" s="3" t="s">
        <v>23</v>
      </c>
      <c r="B25" s="3" t="s">
        <v>77</v>
      </c>
      <c r="C25" s="3" t="s">
        <v>78</v>
      </c>
      <c r="D25" s="4" t="s">
        <v>79</v>
      </c>
      <c r="E25" s="4" t="s">
        <v>81</v>
      </c>
      <c r="F25" s="3" t="s">
        <v>64</v>
      </c>
      <c r="G25" s="5"/>
      <c r="H25" s="5"/>
      <c r="I25" s="5"/>
      <c r="J25" s="5"/>
      <c r="K25" s="5"/>
      <c r="L25" s="5"/>
      <c r="M25" s="5"/>
      <c r="N25" s="5"/>
      <c r="O25" s="5" t="n">
        <v>1</v>
      </c>
      <c r="P25" s="5"/>
      <c r="Q25" s="5"/>
      <c r="R25" s="5"/>
      <c r="S25" s="5"/>
      <c r="T25" s="5"/>
      <c r="U25" s="6" t="n">
        <v>1600</v>
      </c>
      <c r="V25" s="7" t="n">
        <f aca="false">SUM(G25:T25)</f>
        <v>1</v>
      </c>
      <c r="W25" s="8" t="n">
        <f aca="false">IF(U25="","",U25*V25)</f>
        <v>1600</v>
      </c>
    </row>
    <row r="26" customFormat="false" ht="15" hidden="false" customHeight="false" outlineLevel="0" collapsed="false">
      <c r="A26" s="3" t="s">
        <v>23</v>
      </c>
      <c r="B26" s="3" t="s">
        <v>77</v>
      </c>
      <c r="C26" s="3" t="s">
        <v>78</v>
      </c>
      <c r="D26" s="4" t="s">
        <v>79</v>
      </c>
      <c r="E26" s="4" t="s">
        <v>82</v>
      </c>
      <c r="F26" s="3" t="s">
        <v>58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 t="n">
        <v>1</v>
      </c>
      <c r="S26" s="5"/>
      <c r="T26" s="5"/>
      <c r="U26" s="6" t="n">
        <v>1600</v>
      </c>
      <c r="V26" s="7" t="n">
        <f aca="false">SUM(G26:T26)</f>
        <v>1</v>
      </c>
      <c r="W26" s="8" t="n">
        <f aca="false">IF(U26="","",U26*V26)</f>
        <v>1600</v>
      </c>
    </row>
    <row r="27" customFormat="false" ht="15" hidden="false" customHeight="false" outlineLevel="0" collapsed="false">
      <c r="A27" s="3" t="s">
        <v>23</v>
      </c>
      <c r="B27" s="3" t="s">
        <v>77</v>
      </c>
      <c r="C27" s="3" t="s">
        <v>83</v>
      </c>
      <c r="D27" s="4" t="s">
        <v>84</v>
      </c>
      <c r="E27" s="4" t="s">
        <v>85</v>
      </c>
      <c r="F27" s="3" t="s">
        <v>62</v>
      </c>
      <c r="G27" s="5"/>
      <c r="H27" s="5"/>
      <c r="I27" s="5"/>
      <c r="J27" s="5"/>
      <c r="K27" s="5"/>
      <c r="L27" s="5"/>
      <c r="M27" s="5"/>
      <c r="N27" s="5"/>
      <c r="O27" s="5"/>
      <c r="P27" s="5" t="n">
        <v>1</v>
      </c>
      <c r="Q27" s="5"/>
      <c r="R27" s="5" t="n">
        <v>1</v>
      </c>
      <c r="S27" s="5"/>
      <c r="T27" s="5"/>
      <c r="U27" s="6" t="n">
        <v>1565</v>
      </c>
      <c r="V27" s="7" t="n">
        <f aca="false">SUM(G27:T27)</f>
        <v>2</v>
      </c>
      <c r="W27" s="8" t="n">
        <f aca="false">IF(U27="","",U27*V27)</f>
        <v>3130</v>
      </c>
    </row>
    <row r="28" customFormat="false" ht="15" hidden="false" customHeight="false" outlineLevel="0" collapsed="false">
      <c r="A28" s="3" t="s">
        <v>23</v>
      </c>
      <c r="B28" s="3" t="s">
        <v>77</v>
      </c>
      <c r="C28" s="3" t="s">
        <v>83</v>
      </c>
      <c r="D28" s="4" t="s">
        <v>84</v>
      </c>
      <c r="E28" s="4" t="s">
        <v>86</v>
      </c>
      <c r="F28" s="3" t="s">
        <v>64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 t="n">
        <v>2</v>
      </c>
      <c r="R28" s="5" t="n">
        <v>1</v>
      </c>
      <c r="S28" s="5"/>
      <c r="T28" s="5"/>
      <c r="U28" s="6" t="n">
        <v>1565</v>
      </c>
      <c r="V28" s="7" t="n">
        <f aca="false">SUM(G28:T28)</f>
        <v>3</v>
      </c>
      <c r="W28" s="8" t="n">
        <f aca="false">IF(U28="","",U28*V28)</f>
        <v>4695</v>
      </c>
    </row>
    <row r="29" customFormat="false" ht="15" hidden="false" customHeight="false" outlineLevel="0" collapsed="false">
      <c r="A29" s="3" t="s">
        <v>23</v>
      </c>
      <c r="B29" s="3" t="s">
        <v>77</v>
      </c>
      <c r="C29" s="3" t="s">
        <v>83</v>
      </c>
      <c r="D29" s="4" t="s">
        <v>84</v>
      </c>
      <c r="E29" s="9"/>
      <c r="F29" s="3" t="s">
        <v>54</v>
      </c>
      <c r="G29" s="5"/>
      <c r="H29" s="5"/>
      <c r="I29" s="5"/>
      <c r="J29" s="5" t="n">
        <v>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6" t="n">
        <v>1565</v>
      </c>
      <c r="V29" s="7" t="n">
        <f aca="false">SUM(G29:T29)</f>
        <v>1</v>
      </c>
      <c r="W29" s="8" t="n">
        <f aca="false">IF(U29="","",U29*V29)</f>
        <v>1565</v>
      </c>
    </row>
    <row r="30" customFormat="false" ht="15" hidden="false" customHeight="false" outlineLevel="0" collapsed="false">
      <c r="A30" s="3" t="s">
        <v>23</v>
      </c>
      <c r="B30" s="3" t="s">
        <v>77</v>
      </c>
      <c r="C30" s="3" t="s">
        <v>87</v>
      </c>
      <c r="D30" s="4" t="s">
        <v>88</v>
      </c>
      <c r="E30" s="4" t="s">
        <v>89</v>
      </c>
      <c r="F30" s="3" t="s">
        <v>62</v>
      </c>
      <c r="G30" s="5"/>
      <c r="H30" s="5"/>
      <c r="I30" s="5" t="n">
        <v>1</v>
      </c>
      <c r="J30" s="5"/>
      <c r="K30" s="5"/>
      <c r="L30" s="5"/>
      <c r="M30" s="5"/>
      <c r="N30" s="5"/>
      <c r="O30" s="5"/>
      <c r="P30" s="5"/>
      <c r="Q30" s="5" t="n">
        <v>5</v>
      </c>
      <c r="R30" s="5"/>
      <c r="S30" s="5"/>
      <c r="T30" s="5"/>
      <c r="U30" s="6" t="n">
        <v>1565</v>
      </c>
      <c r="V30" s="7" t="n">
        <f aca="false">SUM(G30:T30)</f>
        <v>6</v>
      </c>
      <c r="W30" s="8" t="n">
        <f aca="false">IF(U30="","",U30*V30)</f>
        <v>9390</v>
      </c>
    </row>
    <row r="31" customFormat="false" ht="15" hidden="false" customHeight="false" outlineLevel="0" collapsed="false">
      <c r="A31" s="3" t="s">
        <v>23</v>
      </c>
      <c r="B31" s="3" t="s">
        <v>77</v>
      </c>
      <c r="C31" s="3" t="s">
        <v>87</v>
      </c>
      <c r="D31" s="4" t="s">
        <v>88</v>
      </c>
      <c r="E31" s="4" t="s">
        <v>90</v>
      </c>
      <c r="F31" s="3" t="s">
        <v>64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 t="n">
        <v>7</v>
      </c>
      <c r="R31" s="5"/>
      <c r="S31" s="5"/>
      <c r="T31" s="5"/>
      <c r="U31" s="6" t="n">
        <v>1565</v>
      </c>
      <c r="V31" s="7" t="n">
        <f aca="false">SUM(G31:T31)</f>
        <v>7</v>
      </c>
      <c r="W31" s="8" t="n">
        <f aca="false">IF(U31="","",U31*V31)</f>
        <v>10955</v>
      </c>
    </row>
    <row r="32" customFormat="false" ht="15" hidden="false" customHeight="false" outlineLevel="0" collapsed="false">
      <c r="A32" s="3" t="s">
        <v>23</v>
      </c>
      <c r="B32" s="3" t="s">
        <v>77</v>
      </c>
      <c r="C32" s="3" t="s">
        <v>87</v>
      </c>
      <c r="D32" s="4" t="s">
        <v>88</v>
      </c>
      <c r="E32" s="4" t="s">
        <v>91</v>
      </c>
      <c r="F32" s="3" t="s">
        <v>54</v>
      </c>
      <c r="G32" s="5"/>
      <c r="H32" s="5"/>
      <c r="I32" s="5"/>
      <c r="J32" s="5"/>
      <c r="K32" s="5" t="n">
        <v>1</v>
      </c>
      <c r="L32" s="5"/>
      <c r="M32" s="5"/>
      <c r="N32" s="5"/>
      <c r="O32" s="5"/>
      <c r="P32" s="5"/>
      <c r="Q32" s="5" t="n">
        <v>2</v>
      </c>
      <c r="R32" s="5"/>
      <c r="S32" s="5"/>
      <c r="T32" s="5"/>
      <c r="U32" s="6" t="n">
        <v>1565</v>
      </c>
      <c r="V32" s="7" t="n">
        <f aca="false">SUM(G32:T32)</f>
        <v>3</v>
      </c>
      <c r="W32" s="8" t="n">
        <f aca="false">IF(U32="","",U32*V32)</f>
        <v>4695</v>
      </c>
    </row>
    <row r="33" customFormat="false" ht="15" hidden="false" customHeight="false" outlineLevel="0" collapsed="false">
      <c r="A33" s="3" t="s">
        <v>23</v>
      </c>
      <c r="B33" s="3" t="s">
        <v>77</v>
      </c>
      <c r="C33" s="3" t="s">
        <v>87</v>
      </c>
      <c r="D33" s="4" t="s">
        <v>88</v>
      </c>
      <c r="E33" s="4" t="s">
        <v>92</v>
      </c>
      <c r="F33" s="3" t="s">
        <v>56</v>
      </c>
      <c r="G33" s="5"/>
      <c r="H33" s="5"/>
      <c r="I33" s="5"/>
      <c r="J33" s="5"/>
      <c r="K33" s="5" t="n">
        <v>1</v>
      </c>
      <c r="L33" s="5"/>
      <c r="M33" s="5"/>
      <c r="N33" s="5"/>
      <c r="O33" s="5"/>
      <c r="P33" s="5"/>
      <c r="Q33" s="5" t="n">
        <v>6</v>
      </c>
      <c r="R33" s="5"/>
      <c r="S33" s="5"/>
      <c r="T33" s="5"/>
      <c r="U33" s="6" t="n">
        <v>1565</v>
      </c>
      <c r="V33" s="7" t="n">
        <f aca="false">SUM(G33:T33)</f>
        <v>7</v>
      </c>
      <c r="W33" s="8" t="n">
        <f aca="false">IF(U33="","",U33*V33)</f>
        <v>10955</v>
      </c>
    </row>
    <row r="34" customFormat="false" ht="15" hidden="false" customHeight="false" outlineLevel="0" collapsed="false">
      <c r="A34" s="3" t="s">
        <v>23</v>
      </c>
      <c r="B34" s="3" t="s">
        <v>77</v>
      </c>
      <c r="C34" s="3" t="s">
        <v>87</v>
      </c>
      <c r="D34" s="4" t="s">
        <v>88</v>
      </c>
      <c r="E34" s="4" t="s">
        <v>93</v>
      </c>
      <c r="F34" s="3" t="s">
        <v>58</v>
      </c>
      <c r="G34" s="5"/>
      <c r="H34" s="5" t="n">
        <v>1</v>
      </c>
      <c r="I34" s="5"/>
      <c r="J34" s="5"/>
      <c r="K34" s="5"/>
      <c r="L34" s="5"/>
      <c r="M34" s="5"/>
      <c r="N34" s="5"/>
      <c r="O34" s="5"/>
      <c r="P34" s="5"/>
      <c r="Q34" s="5" t="n">
        <v>12</v>
      </c>
      <c r="R34" s="5"/>
      <c r="S34" s="5"/>
      <c r="T34" s="5"/>
      <c r="U34" s="6" t="n">
        <v>1565</v>
      </c>
      <c r="V34" s="7" t="n">
        <f aca="false">SUM(G34:T34)</f>
        <v>13</v>
      </c>
      <c r="W34" s="8" t="n">
        <f aca="false">IF(U34="","",U34*V34)</f>
        <v>20345</v>
      </c>
    </row>
    <row r="35" customFormat="false" ht="15" hidden="false" customHeight="false" outlineLevel="0" collapsed="false">
      <c r="A35" s="3" t="s">
        <v>23</v>
      </c>
      <c r="B35" s="3" t="s">
        <v>77</v>
      </c>
      <c r="C35" s="3" t="s">
        <v>87</v>
      </c>
      <c r="D35" s="4" t="s">
        <v>88</v>
      </c>
      <c r="E35" s="4" t="s">
        <v>94</v>
      </c>
      <c r="F35" s="3" t="s">
        <v>95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 t="n">
        <v>11</v>
      </c>
      <c r="R35" s="5"/>
      <c r="S35" s="5"/>
      <c r="T35" s="5"/>
      <c r="U35" s="6" t="n">
        <v>1565</v>
      </c>
      <c r="V35" s="7" t="n">
        <f aca="false">SUM(G35:T35)</f>
        <v>11</v>
      </c>
      <c r="W35" s="8" t="n">
        <f aca="false">IF(U35="","",U35*V35)</f>
        <v>17215</v>
      </c>
    </row>
    <row r="36" customFormat="false" ht="15" hidden="false" customHeight="false" outlineLevel="0" collapsed="false">
      <c r="A36" s="3" t="s">
        <v>23</v>
      </c>
      <c r="B36" s="3" t="s">
        <v>96</v>
      </c>
      <c r="C36" s="3" t="s">
        <v>97</v>
      </c>
      <c r="D36" s="4" t="s">
        <v>98</v>
      </c>
      <c r="E36" s="4" t="s">
        <v>99</v>
      </c>
      <c r="F36" s="3" t="s">
        <v>100</v>
      </c>
      <c r="G36" s="5" t="n">
        <v>1</v>
      </c>
      <c r="H36" s="5"/>
      <c r="I36" s="5"/>
      <c r="J36" s="5"/>
      <c r="K36" s="5"/>
      <c r="L36" s="5"/>
      <c r="M36" s="5"/>
      <c r="N36" s="5"/>
      <c r="O36" s="5"/>
      <c r="P36" s="5"/>
      <c r="Q36" s="5" t="n">
        <v>14</v>
      </c>
      <c r="R36" s="5"/>
      <c r="S36" s="5"/>
      <c r="T36" s="5"/>
      <c r="U36" s="6" t="n">
        <v>1890</v>
      </c>
      <c r="V36" s="7" t="n">
        <f aca="false">SUM(G36:T36)</f>
        <v>15</v>
      </c>
      <c r="W36" s="8" t="n">
        <f aca="false">IF(U36="","",U36*V36)</f>
        <v>28350</v>
      </c>
    </row>
    <row r="37" customFormat="false" ht="15" hidden="false" customHeight="false" outlineLevel="0" collapsed="false">
      <c r="A37" s="3" t="s">
        <v>23</v>
      </c>
      <c r="B37" s="3" t="s">
        <v>96</v>
      </c>
      <c r="C37" s="3" t="s">
        <v>97</v>
      </c>
      <c r="D37" s="4" t="s">
        <v>98</v>
      </c>
      <c r="E37" s="4" t="s">
        <v>101</v>
      </c>
      <c r="F37" s="3" t="s">
        <v>102</v>
      </c>
      <c r="G37" s="5"/>
      <c r="H37" s="5"/>
      <c r="I37" s="5"/>
      <c r="J37" s="5"/>
      <c r="K37" s="5"/>
      <c r="L37" s="5"/>
      <c r="M37" s="5" t="n">
        <v>1</v>
      </c>
      <c r="N37" s="5"/>
      <c r="O37" s="5"/>
      <c r="P37" s="5"/>
      <c r="Q37" s="5" t="n">
        <v>12</v>
      </c>
      <c r="R37" s="5"/>
      <c r="S37" s="5"/>
      <c r="T37" s="5"/>
      <c r="U37" s="6" t="n">
        <v>1890</v>
      </c>
      <c r="V37" s="7" t="n">
        <f aca="false">SUM(G37:T37)</f>
        <v>13</v>
      </c>
      <c r="W37" s="8" t="n">
        <f aca="false">IF(U37="","",U37*V37)</f>
        <v>24570</v>
      </c>
    </row>
    <row r="38" customFormat="false" ht="15" hidden="false" customHeight="false" outlineLevel="0" collapsed="false">
      <c r="A38" s="3" t="s">
        <v>23</v>
      </c>
      <c r="B38" s="3" t="s">
        <v>96</v>
      </c>
      <c r="C38" s="3" t="s">
        <v>103</v>
      </c>
      <c r="D38" s="4" t="s">
        <v>104</v>
      </c>
      <c r="E38" s="4" t="s">
        <v>105</v>
      </c>
      <c r="F38" s="3" t="s">
        <v>41</v>
      </c>
      <c r="G38" s="5"/>
      <c r="H38" s="5"/>
      <c r="I38" s="5" t="n">
        <v>1</v>
      </c>
      <c r="J38" s="5" t="n">
        <v>1</v>
      </c>
      <c r="K38" s="5"/>
      <c r="L38" s="5" t="n">
        <v>1</v>
      </c>
      <c r="M38" s="5"/>
      <c r="N38" s="5" t="n">
        <v>2</v>
      </c>
      <c r="O38" s="5" t="n">
        <v>1</v>
      </c>
      <c r="P38" s="5"/>
      <c r="Q38" s="5" t="n">
        <v>45</v>
      </c>
      <c r="R38" s="5" t="n">
        <v>1</v>
      </c>
      <c r="S38" s="5" t="n">
        <v>1</v>
      </c>
      <c r="T38" s="5"/>
      <c r="U38" s="6" t="n">
        <v>2650</v>
      </c>
      <c r="V38" s="7" t="n">
        <f aca="false">SUM(G38:T38)</f>
        <v>53</v>
      </c>
      <c r="W38" s="8" t="n">
        <f aca="false">IF(U38="","",U38*V38)</f>
        <v>140450</v>
      </c>
    </row>
    <row r="39" customFormat="false" ht="15" hidden="false" customHeight="false" outlineLevel="0" collapsed="false">
      <c r="A39" s="3" t="s">
        <v>23</v>
      </c>
      <c r="B39" s="3" t="s">
        <v>106</v>
      </c>
      <c r="C39" s="3" t="s">
        <v>107</v>
      </c>
      <c r="D39" s="4" t="s">
        <v>108</v>
      </c>
      <c r="E39" s="4" t="s">
        <v>109</v>
      </c>
      <c r="F39" s="3" t="s">
        <v>100</v>
      </c>
      <c r="G39" s="5" t="n">
        <v>2</v>
      </c>
      <c r="H39" s="5"/>
      <c r="I39" s="5" t="n">
        <v>1</v>
      </c>
      <c r="J39" s="5"/>
      <c r="K39" s="5"/>
      <c r="L39" s="5"/>
      <c r="M39" s="5"/>
      <c r="N39" s="5"/>
      <c r="O39" s="5"/>
      <c r="P39" s="5"/>
      <c r="Q39" s="5" t="n">
        <v>1</v>
      </c>
      <c r="R39" s="5"/>
      <c r="S39" s="5"/>
      <c r="T39" s="5"/>
      <c r="U39" s="10"/>
      <c r="V39" s="7" t="n">
        <f aca="false">SUM(G39:T39)</f>
        <v>4</v>
      </c>
      <c r="W39" s="8" t="str">
        <f aca="false">IF(U39="","",U39*V39)</f>
        <v/>
      </c>
    </row>
    <row r="40" customFormat="false" ht="15" hidden="false" customHeight="false" outlineLevel="0" collapsed="false">
      <c r="A40" s="3" t="s">
        <v>23</v>
      </c>
      <c r="B40" s="3" t="s">
        <v>106</v>
      </c>
      <c r="C40" s="3" t="s">
        <v>110</v>
      </c>
      <c r="D40" s="4" t="s">
        <v>111</v>
      </c>
      <c r="E40" s="4" t="s">
        <v>112</v>
      </c>
      <c r="F40" s="3" t="s">
        <v>100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 t="n">
        <v>12</v>
      </c>
      <c r="R40" s="5"/>
      <c r="S40" s="5"/>
      <c r="T40" s="5"/>
      <c r="U40" s="6" t="n">
        <v>1890</v>
      </c>
      <c r="V40" s="7" t="n">
        <f aca="false">SUM(G40:T40)</f>
        <v>12</v>
      </c>
      <c r="W40" s="8" t="n">
        <f aca="false">IF(U40="","",U40*V40)</f>
        <v>22680</v>
      </c>
    </row>
    <row r="41" customFormat="false" ht="15" hidden="false" customHeight="false" outlineLevel="0" collapsed="false">
      <c r="A41" s="3" t="s">
        <v>23</v>
      </c>
      <c r="B41" s="3" t="s">
        <v>106</v>
      </c>
      <c r="C41" s="3" t="s">
        <v>113</v>
      </c>
      <c r="D41" s="4" t="s">
        <v>114</v>
      </c>
      <c r="E41" s="4" t="s">
        <v>115</v>
      </c>
      <c r="F41" s="3" t="s">
        <v>100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 t="n">
        <v>8</v>
      </c>
      <c r="R41" s="5"/>
      <c r="S41" s="5"/>
      <c r="T41" s="5"/>
      <c r="U41" s="6" t="n">
        <v>1890</v>
      </c>
      <c r="V41" s="7" t="n">
        <f aca="false">SUM(G41:T41)</f>
        <v>8</v>
      </c>
      <c r="W41" s="8" t="n">
        <f aca="false">IF(U41="","",U41*V41)</f>
        <v>15120</v>
      </c>
    </row>
    <row r="42" customFormat="false" ht="15" hidden="false" customHeight="false" outlineLevel="0" collapsed="false">
      <c r="A42" s="3" t="s">
        <v>23</v>
      </c>
      <c r="B42" s="3" t="s">
        <v>106</v>
      </c>
      <c r="C42" s="3" t="s">
        <v>113</v>
      </c>
      <c r="D42" s="4" t="s">
        <v>114</v>
      </c>
      <c r="E42" s="4" t="s">
        <v>116</v>
      </c>
      <c r="F42" s="3" t="s">
        <v>102</v>
      </c>
      <c r="G42" s="5" t="n">
        <v>1</v>
      </c>
      <c r="H42" s="5"/>
      <c r="I42" s="5"/>
      <c r="J42" s="5"/>
      <c r="K42" s="5"/>
      <c r="L42" s="5"/>
      <c r="M42" s="5"/>
      <c r="N42" s="5"/>
      <c r="O42" s="5"/>
      <c r="P42" s="5"/>
      <c r="Q42" s="5" t="n">
        <v>6</v>
      </c>
      <c r="R42" s="5"/>
      <c r="S42" s="5" t="n">
        <v>1</v>
      </c>
      <c r="T42" s="5"/>
      <c r="U42" s="6" t="n">
        <v>1890</v>
      </c>
      <c r="V42" s="7" t="n">
        <f aca="false">SUM(G42:T42)</f>
        <v>8</v>
      </c>
      <c r="W42" s="8" t="n">
        <f aca="false">IF(U42="","",U42*V42)</f>
        <v>15120</v>
      </c>
    </row>
    <row r="43" customFormat="false" ht="15" hidden="false" customHeight="false" outlineLevel="0" collapsed="false">
      <c r="A43" s="3" t="s">
        <v>23</v>
      </c>
      <c r="B43" s="3" t="s">
        <v>106</v>
      </c>
      <c r="C43" s="3" t="s">
        <v>117</v>
      </c>
      <c r="D43" s="4" t="s">
        <v>118</v>
      </c>
      <c r="E43" s="4" t="s">
        <v>119</v>
      </c>
      <c r="F43" s="3" t="s">
        <v>100</v>
      </c>
      <c r="G43" s="5" t="n">
        <v>1</v>
      </c>
      <c r="H43" s="5"/>
      <c r="I43" s="5"/>
      <c r="J43" s="5"/>
      <c r="K43" s="5"/>
      <c r="L43" s="5"/>
      <c r="M43" s="5"/>
      <c r="N43" s="5"/>
      <c r="O43" s="5"/>
      <c r="P43" s="5"/>
      <c r="Q43" s="5" t="n">
        <v>8</v>
      </c>
      <c r="R43" s="5"/>
      <c r="S43" s="5"/>
      <c r="T43" s="5"/>
      <c r="U43" s="10"/>
      <c r="V43" s="7" t="n">
        <f aca="false">SUM(G43:T43)</f>
        <v>9</v>
      </c>
      <c r="W43" s="8" t="str">
        <f aca="false">IF(U43="","",U43*V43)</f>
        <v/>
      </c>
    </row>
    <row r="44" customFormat="false" ht="15" hidden="false" customHeight="false" outlineLevel="0" collapsed="false">
      <c r="A44" s="3" t="s">
        <v>23</v>
      </c>
      <c r="B44" s="3" t="s">
        <v>106</v>
      </c>
      <c r="C44" s="3" t="s">
        <v>117</v>
      </c>
      <c r="D44" s="4" t="s">
        <v>118</v>
      </c>
      <c r="E44" s="4" t="s">
        <v>120</v>
      </c>
      <c r="F44" s="3" t="s">
        <v>102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 t="n">
        <v>29</v>
      </c>
      <c r="R44" s="5"/>
      <c r="S44" s="5"/>
      <c r="T44" s="5"/>
      <c r="U44" s="10"/>
      <c r="V44" s="7" t="n">
        <f aca="false">SUM(G44:T44)</f>
        <v>29</v>
      </c>
      <c r="W44" s="8" t="str">
        <f aca="false">IF(U44="","",U44*V44)</f>
        <v/>
      </c>
    </row>
    <row r="45" customFormat="false" ht="15" hidden="false" customHeight="false" outlineLevel="0" collapsed="false">
      <c r="A45" s="3" t="s">
        <v>23</v>
      </c>
      <c r="B45" s="3" t="s">
        <v>106</v>
      </c>
      <c r="C45" s="3" t="s">
        <v>121</v>
      </c>
      <c r="D45" s="4" t="s">
        <v>122</v>
      </c>
      <c r="E45" s="4" t="s">
        <v>123</v>
      </c>
      <c r="F45" s="3" t="s">
        <v>100</v>
      </c>
      <c r="G45" s="5" t="n">
        <v>1</v>
      </c>
      <c r="H45" s="5"/>
      <c r="I45" s="5"/>
      <c r="J45" s="5"/>
      <c r="K45" s="5"/>
      <c r="L45" s="5"/>
      <c r="M45" s="5"/>
      <c r="N45" s="5"/>
      <c r="O45" s="5"/>
      <c r="P45" s="5"/>
      <c r="Q45" s="5" t="n">
        <v>49</v>
      </c>
      <c r="R45" s="5"/>
      <c r="S45" s="5" t="n">
        <v>2</v>
      </c>
      <c r="T45" s="5"/>
      <c r="U45" s="10"/>
      <c r="V45" s="7" t="n">
        <f aca="false">SUM(G45:T45)</f>
        <v>52</v>
      </c>
      <c r="W45" s="8" t="str">
        <f aca="false">IF(U45="","",U45*V45)</f>
        <v/>
      </c>
    </row>
    <row r="46" customFormat="false" ht="15" hidden="false" customHeight="false" outlineLevel="0" collapsed="false">
      <c r="A46" s="3" t="s">
        <v>23</v>
      </c>
      <c r="B46" s="3" t="s">
        <v>106</v>
      </c>
      <c r="C46" s="3" t="s">
        <v>121</v>
      </c>
      <c r="D46" s="4" t="s">
        <v>122</v>
      </c>
      <c r="E46" s="4" t="s">
        <v>124</v>
      </c>
      <c r="F46" s="3" t="s">
        <v>102</v>
      </c>
      <c r="G46" s="5"/>
      <c r="H46" s="5"/>
      <c r="I46" s="5"/>
      <c r="J46" s="5" t="n">
        <v>1</v>
      </c>
      <c r="K46" s="5"/>
      <c r="L46" s="5"/>
      <c r="M46" s="5"/>
      <c r="N46" s="5"/>
      <c r="O46" s="5" t="n">
        <v>1</v>
      </c>
      <c r="P46" s="5"/>
      <c r="Q46" s="5" t="n">
        <v>60</v>
      </c>
      <c r="R46" s="5"/>
      <c r="S46" s="5"/>
      <c r="T46" s="5"/>
      <c r="U46" s="10"/>
      <c r="V46" s="7" t="n">
        <f aca="false">SUM(G46:T46)</f>
        <v>62</v>
      </c>
      <c r="W46" s="8" t="str">
        <f aca="false">IF(U46="","",U46*V46)</f>
        <v/>
      </c>
    </row>
    <row r="47" customFormat="false" ht="15" hidden="false" customHeight="false" outlineLevel="0" collapsed="false">
      <c r="A47" s="3" t="s">
        <v>23</v>
      </c>
      <c r="B47" s="3" t="s">
        <v>125</v>
      </c>
      <c r="C47" s="3" t="s">
        <v>126</v>
      </c>
      <c r="D47" s="4" t="s">
        <v>127</v>
      </c>
      <c r="E47" s="4" t="s">
        <v>128</v>
      </c>
      <c r="F47" s="3" t="s">
        <v>102</v>
      </c>
      <c r="G47" s="5" t="n">
        <v>1</v>
      </c>
      <c r="H47" s="5" t="n">
        <v>1</v>
      </c>
      <c r="I47" s="5" t="n">
        <v>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 t="n">
        <v>2390</v>
      </c>
      <c r="V47" s="7" t="n">
        <f aca="false">SUM(G47:T47)</f>
        <v>3</v>
      </c>
      <c r="W47" s="8" t="n">
        <f aca="false">IF(U47="","",U47*V47)</f>
        <v>7170</v>
      </c>
    </row>
    <row r="48" customFormat="false" ht="15" hidden="false" customHeight="false" outlineLevel="0" collapsed="false">
      <c r="A48" s="3" t="s">
        <v>23</v>
      </c>
      <c r="B48" s="3" t="s">
        <v>125</v>
      </c>
      <c r="C48" s="3" t="s">
        <v>129</v>
      </c>
      <c r="D48" s="4" t="s">
        <v>130</v>
      </c>
      <c r="E48" s="4" t="s">
        <v>131</v>
      </c>
      <c r="F48" s="3" t="s">
        <v>100</v>
      </c>
      <c r="G48" s="5"/>
      <c r="H48" s="5" t="n">
        <v>4</v>
      </c>
      <c r="I48" s="5" t="n">
        <v>5</v>
      </c>
      <c r="J48" s="5"/>
      <c r="K48" s="5" t="n">
        <v>5</v>
      </c>
      <c r="L48" s="5"/>
      <c r="M48" s="5"/>
      <c r="N48" s="5"/>
      <c r="O48" s="5"/>
      <c r="P48" s="5"/>
      <c r="Q48" s="5" t="n">
        <v>19</v>
      </c>
      <c r="R48" s="5"/>
      <c r="S48" s="5"/>
      <c r="T48" s="5" t="n">
        <v>3</v>
      </c>
      <c r="U48" s="6" t="n">
        <v>1850</v>
      </c>
      <c r="V48" s="7" t="n">
        <f aca="false">SUM(G48:T48)</f>
        <v>36</v>
      </c>
      <c r="W48" s="8" t="n">
        <f aca="false">IF(U48="","",U48*V48)</f>
        <v>66600</v>
      </c>
    </row>
    <row r="49" customFormat="false" ht="15" hidden="false" customHeight="false" outlineLevel="0" collapsed="false">
      <c r="A49" s="3" t="s">
        <v>23</v>
      </c>
      <c r="B49" s="3" t="s">
        <v>125</v>
      </c>
      <c r="C49" s="3" t="s">
        <v>132</v>
      </c>
      <c r="D49" s="4" t="s">
        <v>133</v>
      </c>
      <c r="E49" s="4" t="s">
        <v>134</v>
      </c>
      <c r="F49" s="3" t="s">
        <v>100</v>
      </c>
      <c r="G49" s="5" t="n">
        <v>5</v>
      </c>
      <c r="H49" s="5" t="n">
        <v>1</v>
      </c>
      <c r="I49" s="5"/>
      <c r="J49" s="5"/>
      <c r="K49" s="5" t="n">
        <v>6</v>
      </c>
      <c r="L49" s="5"/>
      <c r="M49" s="5"/>
      <c r="N49" s="5"/>
      <c r="O49" s="5"/>
      <c r="P49" s="5"/>
      <c r="Q49" s="5" t="n">
        <v>149</v>
      </c>
      <c r="R49" s="5"/>
      <c r="S49" s="5"/>
      <c r="T49" s="5" t="n">
        <v>1</v>
      </c>
      <c r="U49" s="6" t="n">
        <v>1850</v>
      </c>
      <c r="V49" s="7" t="n">
        <f aca="false">SUM(G49:T49)</f>
        <v>162</v>
      </c>
      <c r="W49" s="8" t="n">
        <f aca="false">IF(U49="","",U49*V49)</f>
        <v>299700</v>
      </c>
    </row>
    <row r="50" customFormat="false" ht="15" hidden="false" customHeight="false" outlineLevel="0" collapsed="false">
      <c r="A50" s="3" t="s">
        <v>23</v>
      </c>
      <c r="B50" s="3" t="s">
        <v>125</v>
      </c>
      <c r="C50" s="3" t="s">
        <v>132</v>
      </c>
      <c r="D50" s="4" t="s">
        <v>133</v>
      </c>
      <c r="E50" s="4" t="s">
        <v>135</v>
      </c>
      <c r="F50" s="3" t="s">
        <v>102</v>
      </c>
      <c r="G50" s="5" t="n">
        <v>3</v>
      </c>
      <c r="H50" s="5"/>
      <c r="I50" s="5"/>
      <c r="J50" s="5" t="n">
        <v>2</v>
      </c>
      <c r="K50" s="5" t="n">
        <v>1</v>
      </c>
      <c r="L50" s="5"/>
      <c r="M50" s="5"/>
      <c r="N50" s="5"/>
      <c r="O50" s="5"/>
      <c r="P50" s="5"/>
      <c r="Q50" s="5" t="n">
        <v>72</v>
      </c>
      <c r="R50" s="5"/>
      <c r="S50" s="5" t="n">
        <v>1</v>
      </c>
      <c r="T50" s="5" t="n">
        <v>4</v>
      </c>
      <c r="U50" s="6" t="n">
        <v>1850</v>
      </c>
      <c r="V50" s="7" t="n">
        <f aca="false">SUM(G50:T50)</f>
        <v>83</v>
      </c>
      <c r="W50" s="8" t="n">
        <f aca="false">IF(U50="","",U50*V50)</f>
        <v>153550</v>
      </c>
    </row>
    <row r="51" customFormat="false" ht="15" hidden="false" customHeight="false" outlineLevel="0" collapsed="false">
      <c r="A51" s="3" t="s">
        <v>23</v>
      </c>
      <c r="B51" s="3" t="s">
        <v>125</v>
      </c>
      <c r="C51" s="3" t="s">
        <v>136</v>
      </c>
      <c r="D51" s="4" t="s">
        <v>137</v>
      </c>
      <c r="E51" s="4" t="s">
        <v>138</v>
      </c>
      <c r="F51" s="3" t="s">
        <v>100</v>
      </c>
      <c r="G51" s="5" t="n">
        <v>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10"/>
      <c r="V51" s="7" t="n">
        <f aca="false">SUM(G51:T51)</f>
        <v>1</v>
      </c>
      <c r="W51" s="8" t="str">
        <f aca="false">IF(U51="","",U51*V51)</f>
        <v/>
      </c>
    </row>
    <row r="52" customFormat="false" ht="15" hidden="false" customHeight="false" outlineLevel="0" collapsed="false">
      <c r="A52" s="3" t="s">
        <v>23</v>
      </c>
      <c r="B52" s="3" t="s">
        <v>125</v>
      </c>
      <c r="C52" s="3" t="s">
        <v>136</v>
      </c>
      <c r="D52" s="4" t="s">
        <v>137</v>
      </c>
      <c r="E52" s="4" t="s">
        <v>139</v>
      </c>
      <c r="F52" s="3" t="s">
        <v>102</v>
      </c>
      <c r="G52" s="5"/>
      <c r="H52" s="5"/>
      <c r="I52" s="5" t="n">
        <v>2</v>
      </c>
      <c r="J52" s="5" t="n">
        <v>1</v>
      </c>
      <c r="K52" s="5"/>
      <c r="L52" s="5"/>
      <c r="M52" s="5"/>
      <c r="N52" s="5"/>
      <c r="O52" s="5" t="n">
        <v>3</v>
      </c>
      <c r="P52" s="5"/>
      <c r="Q52" s="5" t="n">
        <v>1</v>
      </c>
      <c r="R52" s="5"/>
      <c r="S52" s="5"/>
      <c r="T52" s="5"/>
      <c r="U52" s="10"/>
      <c r="V52" s="7" t="n">
        <f aca="false">SUM(G52:T52)</f>
        <v>7</v>
      </c>
      <c r="W52" s="8" t="str">
        <f aca="false">IF(U52="","",U52*V52)</f>
        <v/>
      </c>
    </row>
    <row r="53" customFormat="false" ht="15" hidden="false" customHeight="false" outlineLevel="0" collapsed="false">
      <c r="A53" s="3" t="s">
        <v>23</v>
      </c>
      <c r="B53" s="3" t="s">
        <v>125</v>
      </c>
      <c r="C53" s="3" t="s">
        <v>140</v>
      </c>
      <c r="D53" s="4" t="s">
        <v>141</v>
      </c>
      <c r="E53" s="4" t="s">
        <v>142</v>
      </c>
      <c r="F53" s="3" t="s">
        <v>100</v>
      </c>
      <c r="G53" s="5"/>
      <c r="H53" s="5"/>
      <c r="I53" s="5"/>
      <c r="J53" s="5"/>
      <c r="K53" s="5"/>
      <c r="L53" s="5"/>
      <c r="M53" s="5"/>
      <c r="N53" s="5"/>
      <c r="O53" s="5"/>
      <c r="P53" s="5" t="n">
        <v>1</v>
      </c>
      <c r="Q53" s="5"/>
      <c r="R53" s="5"/>
      <c r="S53" s="5"/>
      <c r="T53" s="5"/>
      <c r="U53" s="6" t="n">
        <v>1690</v>
      </c>
      <c r="V53" s="7" t="n">
        <f aca="false">SUM(G53:T53)</f>
        <v>1</v>
      </c>
      <c r="W53" s="8" t="n">
        <f aca="false">IF(U53="","",U53*V53)</f>
        <v>1690</v>
      </c>
    </row>
    <row r="54" customFormat="false" ht="15" hidden="false" customHeight="false" outlineLevel="0" collapsed="false">
      <c r="A54" s="3" t="s">
        <v>23</v>
      </c>
      <c r="B54" s="3" t="s">
        <v>125</v>
      </c>
      <c r="C54" s="3" t="s">
        <v>140</v>
      </c>
      <c r="D54" s="4" t="s">
        <v>141</v>
      </c>
      <c r="E54" s="4" t="s">
        <v>143</v>
      </c>
      <c r="F54" s="3" t="s">
        <v>102</v>
      </c>
      <c r="G54" s="5" t="n">
        <v>6</v>
      </c>
      <c r="H54" s="5" t="n">
        <v>3</v>
      </c>
      <c r="I54" s="5"/>
      <c r="J54" s="5" t="n">
        <v>1</v>
      </c>
      <c r="K54" s="5" t="n">
        <v>3</v>
      </c>
      <c r="L54" s="5"/>
      <c r="M54" s="5" t="n">
        <v>1</v>
      </c>
      <c r="N54" s="5"/>
      <c r="O54" s="5"/>
      <c r="P54" s="5" t="n">
        <v>2</v>
      </c>
      <c r="Q54" s="5" t="n">
        <v>60</v>
      </c>
      <c r="R54" s="5"/>
      <c r="S54" s="5" t="n">
        <v>1</v>
      </c>
      <c r="T54" s="5"/>
      <c r="U54" s="6" t="n">
        <v>1690</v>
      </c>
      <c r="V54" s="7" t="n">
        <f aca="false">SUM(G54:T54)</f>
        <v>77</v>
      </c>
      <c r="W54" s="8" t="n">
        <f aca="false">IF(U54="","",U54*V54)</f>
        <v>130130</v>
      </c>
    </row>
    <row r="55" customFormat="false" ht="15" hidden="false" customHeight="false" outlineLevel="0" collapsed="false">
      <c r="A55" s="3" t="s">
        <v>23</v>
      </c>
      <c r="B55" s="3" t="s">
        <v>125</v>
      </c>
      <c r="C55" s="3" t="s">
        <v>144</v>
      </c>
      <c r="D55" s="4" t="s">
        <v>145</v>
      </c>
      <c r="E55" s="4" t="s">
        <v>146</v>
      </c>
      <c r="F55" s="3" t="s">
        <v>100</v>
      </c>
      <c r="G55" s="5"/>
      <c r="H55" s="5"/>
      <c r="I55" s="5"/>
      <c r="J55" s="5"/>
      <c r="K55" s="5" t="n">
        <v>2</v>
      </c>
      <c r="L55" s="5"/>
      <c r="M55" s="5"/>
      <c r="N55" s="5"/>
      <c r="O55" s="5" t="n">
        <v>1</v>
      </c>
      <c r="P55" s="5" t="n">
        <v>1</v>
      </c>
      <c r="Q55" s="5" t="n">
        <v>30</v>
      </c>
      <c r="R55" s="5"/>
      <c r="S55" s="5"/>
      <c r="T55" s="5"/>
      <c r="U55" s="6" t="n">
        <v>1690</v>
      </c>
      <c r="V55" s="7" t="n">
        <f aca="false">SUM(G55:T55)</f>
        <v>34</v>
      </c>
      <c r="W55" s="8" t="n">
        <f aca="false">IF(U55="","",U55*V55)</f>
        <v>57460</v>
      </c>
    </row>
    <row r="56" customFormat="false" ht="15" hidden="false" customHeight="false" outlineLevel="0" collapsed="false">
      <c r="A56" s="3" t="s">
        <v>23</v>
      </c>
      <c r="B56" s="3" t="s">
        <v>125</v>
      </c>
      <c r="C56" s="3" t="s">
        <v>144</v>
      </c>
      <c r="D56" s="4" t="s">
        <v>145</v>
      </c>
      <c r="E56" s="4" t="s">
        <v>147</v>
      </c>
      <c r="F56" s="3" t="s">
        <v>102</v>
      </c>
      <c r="G56" s="5" t="n">
        <v>1</v>
      </c>
      <c r="H56" s="5"/>
      <c r="I56" s="5"/>
      <c r="J56" s="5" t="n">
        <v>1</v>
      </c>
      <c r="K56" s="5"/>
      <c r="L56" s="5"/>
      <c r="M56" s="5"/>
      <c r="N56" s="5"/>
      <c r="O56" s="5" t="n">
        <v>2</v>
      </c>
      <c r="P56" s="5" t="n">
        <v>1</v>
      </c>
      <c r="Q56" s="5" t="n">
        <v>19</v>
      </c>
      <c r="R56" s="5"/>
      <c r="S56" s="5"/>
      <c r="T56" s="5"/>
      <c r="U56" s="6" t="n">
        <v>1690</v>
      </c>
      <c r="V56" s="7" t="n">
        <f aca="false">SUM(G56:T56)</f>
        <v>24</v>
      </c>
      <c r="W56" s="8" t="n">
        <f aca="false">IF(U56="","",U56*V56)</f>
        <v>40560</v>
      </c>
    </row>
    <row r="57" customFormat="false" ht="15" hidden="false" customHeight="false" outlineLevel="0" collapsed="false">
      <c r="A57" s="3" t="s">
        <v>23</v>
      </c>
      <c r="B57" s="3" t="s">
        <v>125</v>
      </c>
      <c r="C57" s="3" t="s">
        <v>148</v>
      </c>
      <c r="D57" s="4" t="s">
        <v>149</v>
      </c>
      <c r="E57" s="4" t="s">
        <v>150</v>
      </c>
      <c r="F57" s="3" t="s">
        <v>41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 t="n">
        <v>14</v>
      </c>
      <c r="R57" s="5" t="n">
        <v>1</v>
      </c>
      <c r="S57" s="5"/>
      <c r="T57" s="5"/>
      <c r="U57" s="6" t="n">
        <v>2650</v>
      </c>
      <c r="V57" s="7" t="n">
        <f aca="false">SUM(G57:T57)</f>
        <v>15</v>
      </c>
      <c r="W57" s="8" t="n">
        <f aca="false">IF(U57="","",U57*V57)</f>
        <v>39750</v>
      </c>
    </row>
    <row r="58" customFormat="false" ht="15" hidden="false" customHeight="false" outlineLevel="0" collapsed="false">
      <c r="A58" s="3" t="s">
        <v>23</v>
      </c>
      <c r="B58" s="3" t="s">
        <v>125</v>
      </c>
      <c r="C58" s="3" t="s">
        <v>151</v>
      </c>
      <c r="D58" s="4" t="s">
        <v>152</v>
      </c>
      <c r="E58" s="4" t="s">
        <v>153</v>
      </c>
      <c r="F58" s="3" t="s">
        <v>100</v>
      </c>
      <c r="G58" s="5" t="n">
        <v>1</v>
      </c>
      <c r="H58" s="5" t="n">
        <v>2</v>
      </c>
      <c r="I58" s="5" t="n">
        <v>2</v>
      </c>
      <c r="J58" s="5"/>
      <c r="K58" s="5"/>
      <c r="L58" s="5"/>
      <c r="M58" s="5"/>
      <c r="N58" s="5"/>
      <c r="O58" s="5"/>
      <c r="P58" s="5" t="n">
        <v>1</v>
      </c>
      <c r="Q58" s="5"/>
      <c r="R58" s="5"/>
      <c r="S58" s="5" t="n">
        <v>1</v>
      </c>
      <c r="T58" s="5"/>
      <c r="U58" s="6" t="n">
        <v>1750</v>
      </c>
      <c r="V58" s="7" t="n">
        <f aca="false">SUM(G58:T58)</f>
        <v>7</v>
      </c>
      <c r="W58" s="8" t="n">
        <f aca="false">IF(U58="","",U58*V58)</f>
        <v>12250</v>
      </c>
    </row>
    <row r="59" customFormat="false" ht="15" hidden="false" customHeight="false" outlineLevel="0" collapsed="false">
      <c r="A59" s="3" t="s">
        <v>23</v>
      </c>
      <c r="B59" s="3" t="s">
        <v>125</v>
      </c>
      <c r="C59" s="3" t="s">
        <v>151</v>
      </c>
      <c r="D59" s="4" t="s">
        <v>152</v>
      </c>
      <c r="E59" s="4" t="s">
        <v>154</v>
      </c>
      <c r="F59" s="3" t="s">
        <v>102</v>
      </c>
      <c r="G59" s="5"/>
      <c r="H59" s="5"/>
      <c r="I59" s="5"/>
      <c r="J59" s="5"/>
      <c r="K59" s="5" t="n">
        <v>3</v>
      </c>
      <c r="L59" s="5"/>
      <c r="M59" s="5"/>
      <c r="N59" s="5"/>
      <c r="O59" s="5" t="n">
        <v>2</v>
      </c>
      <c r="P59" s="5" t="n">
        <v>2</v>
      </c>
      <c r="Q59" s="5" t="n">
        <v>1</v>
      </c>
      <c r="R59" s="5" t="n">
        <v>1</v>
      </c>
      <c r="S59" s="5"/>
      <c r="T59" s="5"/>
      <c r="U59" s="6" t="n">
        <v>1750</v>
      </c>
      <c r="V59" s="7" t="n">
        <f aca="false">SUM(G59:T59)</f>
        <v>9</v>
      </c>
      <c r="W59" s="8" t="n">
        <f aca="false">IF(U59="","",U59*V59)</f>
        <v>15750</v>
      </c>
    </row>
    <row r="60" customFormat="false" ht="15" hidden="false" customHeight="false" outlineLevel="0" collapsed="false">
      <c r="A60" s="3" t="s">
        <v>23</v>
      </c>
      <c r="B60" s="3" t="s">
        <v>125</v>
      </c>
      <c r="C60" s="3" t="s">
        <v>155</v>
      </c>
      <c r="D60" s="4" t="s">
        <v>156</v>
      </c>
      <c r="E60" s="4" t="s">
        <v>157</v>
      </c>
      <c r="F60" s="3" t="s">
        <v>100</v>
      </c>
      <c r="G60" s="5"/>
      <c r="H60" s="5"/>
      <c r="I60" s="5"/>
      <c r="J60" s="5" t="n">
        <v>1</v>
      </c>
      <c r="K60" s="5"/>
      <c r="L60" s="5" t="n">
        <v>1</v>
      </c>
      <c r="M60" s="5" t="n">
        <v>2</v>
      </c>
      <c r="N60" s="5"/>
      <c r="O60" s="5"/>
      <c r="P60" s="5" t="n">
        <v>1</v>
      </c>
      <c r="Q60" s="5" t="n">
        <v>62</v>
      </c>
      <c r="R60" s="5"/>
      <c r="S60" s="5"/>
      <c r="T60" s="5"/>
      <c r="U60" s="6" t="n">
        <v>1750</v>
      </c>
      <c r="V60" s="7" t="n">
        <f aca="false">SUM(G60:T60)</f>
        <v>67</v>
      </c>
      <c r="W60" s="8" t="n">
        <f aca="false">IF(U60="","",U60*V60)</f>
        <v>117250</v>
      </c>
    </row>
    <row r="61" customFormat="false" ht="15" hidden="false" customHeight="false" outlineLevel="0" collapsed="false">
      <c r="A61" s="3" t="s">
        <v>23</v>
      </c>
      <c r="B61" s="3" t="s">
        <v>125</v>
      </c>
      <c r="C61" s="3" t="s">
        <v>155</v>
      </c>
      <c r="D61" s="4" t="s">
        <v>156</v>
      </c>
      <c r="E61" s="4" t="s">
        <v>158</v>
      </c>
      <c r="F61" s="3" t="s">
        <v>102</v>
      </c>
      <c r="G61" s="5" t="n">
        <v>2</v>
      </c>
      <c r="H61" s="5"/>
      <c r="I61" s="5"/>
      <c r="J61" s="5" t="n">
        <v>2</v>
      </c>
      <c r="K61" s="5"/>
      <c r="L61" s="5"/>
      <c r="M61" s="5"/>
      <c r="N61" s="5"/>
      <c r="O61" s="5"/>
      <c r="P61" s="5"/>
      <c r="Q61" s="5" t="n">
        <v>57</v>
      </c>
      <c r="R61" s="5"/>
      <c r="S61" s="5" t="n">
        <v>1</v>
      </c>
      <c r="T61" s="5" t="n">
        <v>1</v>
      </c>
      <c r="U61" s="6" t="n">
        <v>1750</v>
      </c>
      <c r="V61" s="7" t="n">
        <f aca="false">SUM(G61:T61)</f>
        <v>63</v>
      </c>
      <c r="W61" s="8" t="n">
        <f aca="false">IF(U61="","",U61*V61)</f>
        <v>110250</v>
      </c>
    </row>
    <row r="62" customFormat="false" ht="15" hidden="false" customHeight="false" outlineLevel="0" collapsed="false">
      <c r="A62" s="3" t="s">
        <v>23</v>
      </c>
      <c r="B62" s="3" t="s">
        <v>125</v>
      </c>
      <c r="C62" s="3" t="s">
        <v>159</v>
      </c>
      <c r="D62" s="4" t="s">
        <v>160</v>
      </c>
      <c r="E62" s="4" t="s">
        <v>161</v>
      </c>
      <c r="F62" s="3" t="s">
        <v>100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 t="n">
        <v>1</v>
      </c>
      <c r="S62" s="5"/>
      <c r="T62" s="5"/>
      <c r="U62" s="6" t="n">
        <v>1600</v>
      </c>
      <c r="V62" s="7" t="n">
        <f aca="false">SUM(G62:T62)</f>
        <v>1</v>
      </c>
      <c r="W62" s="8" t="n">
        <f aca="false">IF(U62="","",U62*V62)</f>
        <v>1600</v>
      </c>
    </row>
    <row r="63" customFormat="false" ht="15" hidden="false" customHeight="false" outlineLevel="0" collapsed="false">
      <c r="A63" s="3" t="s">
        <v>23</v>
      </c>
      <c r="B63" s="3" t="s">
        <v>125</v>
      </c>
      <c r="C63" s="3" t="s">
        <v>159</v>
      </c>
      <c r="D63" s="4" t="s">
        <v>160</v>
      </c>
      <c r="E63" s="9"/>
      <c r="F63" s="3" t="s">
        <v>102</v>
      </c>
      <c r="G63" s="5"/>
      <c r="H63" s="5"/>
      <c r="I63" s="5" t="n">
        <v>1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 t="n">
        <v>1600</v>
      </c>
      <c r="V63" s="7" t="n">
        <f aca="false">SUM(G63:T63)</f>
        <v>1</v>
      </c>
      <c r="W63" s="8" t="n">
        <f aca="false">IF(U63="","",U63*V63)</f>
        <v>1600</v>
      </c>
    </row>
    <row r="64" customFormat="false" ht="15" hidden="false" customHeight="false" outlineLevel="0" collapsed="false">
      <c r="A64" s="3" t="s">
        <v>23</v>
      </c>
      <c r="B64" s="3" t="s">
        <v>125</v>
      </c>
      <c r="C64" s="3" t="s">
        <v>162</v>
      </c>
      <c r="D64" s="4" t="s">
        <v>163</v>
      </c>
      <c r="E64" s="4" t="s">
        <v>164</v>
      </c>
      <c r="F64" s="3" t="s">
        <v>100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 t="n">
        <v>44</v>
      </c>
      <c r="R64" s="5"/>
      <c r="S64" s="5"/>
      <c r="T64" s="5"/>
      <c r="U64" s="6" t="n">
        <v>1600</v>
      </c>
      <c r="V64" s="7" t="n">
        <f aca="false">SUM(G64:T64)</f>
        <v>44</v>
      </c>
      <c r="W64" s="8" t="n">
        <f aca="false">IF(U64="","",U64*V64)</f>
        <v>70400</v>
      </c>
    </row>
    <row r="65" customFormat="false" ht="15" hidden="false" customHeight="false" outlineLevel="0" collapsed="false">
      <c r="A65" s="3" t="s">
        <v>23</v>
      </c>
      <c r="B65" s="3" t="s">
        <v>125</v>
      </c>
      <c r="C65" s="3" t="s">
        <v>162</v>
      </c>
      <c r="D65" s="4" t="s">
        <v>163</v>
      </c>
      <c r="E65" s="4" t="s">
        <v>165</v>
      </c>
      <c r="F65" s="3" t="s">
        <v>102</v>
      </c>
      <c r="G65" s="5" t="n">
        <v>3</v>
      </c>
      <c r="H65" s="5"/>
      <c r="I65" s="5"/>
      <c r="J65" s="5" t="n">
        <v>2</v>
      </c>
      <c r="K65" s="5"/>
      <c r="L65" s="5"/>
      <c r="M65" s="5"/>
      <c r="N65" s="5"/>
      <c r="O65" s="5"/>
      <c r="P65" s="5"/>
      <c r="Q65" s="5" t="n">
        <v>16</v>
      </c>
      <c r="R65" s="5"/>
      <c r="S65" s="5"/>
      <c r="T65" s="5"/>
      <c r="U65" s="6" t="n">
        <v>1600</v>
      </c>
      <c r="V65" s="7" t="n">
        <f aca="false">SUM(G65:T65)</f>
        <v>21</v>
      </c>
      <c r="W65" s="8" t="n">
        <f aca="false">IF(U65="","",U65*V65)</f>
        <v>33600</v>
      </c>
    </row>
    <row r="66" customFormat="false" ht="15" hidden="false" customHeight="false" outlineLevel="0" collapsed="false">
      <c r="A66" s="3" t="s">
        <v>23</v>
      </c>
      <c r="B66" s="3" t="s">
        <v>125</v>
      </c>
      <c r="C66" s="3" t="s">
        <v>166</v>
      </c>
      <c r="D66" s="4" t="s">
        <v>167</v>
      </c>
      <c r="E66" s="4" t="s">
        <v>168</v>
      </c>
      <c r="F66" s="3" t="s">
        <v>100</v>
      </c>
      <c r="G66" s="5" t="n">
        <v>3</v>
      </c>
      <c r="H66" s="5" t="n">
        <v>1</v>
      </c>
      <c r="I66" s="5"/>
      <c r="J66" s="5" t="n">
        <v>2</v>
      </c>
      <c r="K66" s="5" t="n">
        <v>1</v>
      </c>
      <c r="L66" s="5"/>
      <c r="M66" s="5"/>
      <c r="N66" s="5"/>
      <c r="O66" s="5"/>
      <c r="P66" s="5"/>
      <c r="Q66" s="5" t="n">
        <v>198</v>
      </c>
      <c r="R66" s="5" t="n">
        <v>1</v>
      </c>
      <c r="S66" s="5"/>
      <c r="T66" s="5"/>
      <c r="U66" s="6" t="n">
        <v>1470</v>
      </c>
      <c r="V66" s="7" t="n">
        <f aca="false">SUM(G66:T66)</f>
        <v>206</v>
      </c>
      <c r="W66" s="8" t="n">
        <f aca="false">IF(U66="","",U66*V66)</f>
        <v>302820</v>
      </c>
    </row>
    <row r="67" customFormat="false" ht="15" hidden="false" customHeight="false" outlineLevel="0" collapsed="false">
      <c r="A67" s="3" t="s">
        <v>23</v>
      </c>
      <c r="B67" s="3" t="s">
        <v>125</v>
      </c>
      <c r="C67" s="3" t="s">
        <v>166</v>
      </c>
      <c r="D67" s="4" t="s">
        <v>167</v>
      </c>
      <c r="E67" s="4" t="s">
        <v>169</v>
      </c>
      <c r="F67" s="3" t="s">
        <v>102</v>
      </c>
      <c r="G67" s="5" t="n">
        <v>6</v>
      </c>
      <c r="H67" s="5"/>
      <c r="I67" s="5"/>
      <c r="J67" s="5"/>
      <c r="K67" s="5" t="n">
        <v>2</v>
      </c>
      <c r="L67" s="5"/>
      <c r="M67" s="5"/>
      <c r="N67" s="5"/>
      <c r="O67" s="5" t="n">
        <v>1</v>
      </c>
      <c r="P67" s="5" t="n">
        <v>2</v>
      </c>
      <c r="Q67" s="5" t="n">
        <v>156</v>
      </c>
      <c r="R67" s="5"/>
      <c r="S67" s="5"/>
      <c r="T67" s="5"/>
      <c r="U67" s="6" t="n">
        <v>1470</v>
      </c>
      <c r="V67" s="7" t="n">
        <f aca="false">SUM(G67:T67)</f>
        <v>167</v>
      </c>
      <c r="W67" s="8" t="n">
        <f aca="false">IF(U67="","",U67*V67)</f>
        <v>245490</v>
      </c>
    </row>
    <row r="68" customFormat="false" ht="15" hidden="false" customHeight="false" outlineLevel="0" collapsed="false">
      <c r="A68" s="3" t="s">
        <v>23</v>
      </c>
      <c r="B68" s="3" t="s">
        <v>125</v>
      </c>
      <c r="C68" s="3" t="s">
        <v>170</v>
      </c>
      <c r="D68" s="4" t="s">
        <v>171</v>
      </c>
      <c r="E68" s="4" t="s">
        <v>172</v>
      </c>
      <c r="F68" s="3" t="s">
        <v>100</v>
      </c>
      <c r="G68" s="5"/>
      <c r="H68" s="5" t="n">
        <v>2</v>
      </c>
      <c r="I68" s="5"/>
      <c r="J68" s="5"/>
      <c r="K68" s="5" t="n">
        <v>2</v>
      </c>
      <c r="L68" s="5"/>
      <c r="M68" s="5"/>
      <c r="N68" s="5"/>
      <c r="O68" s="5" t="n">
        <v>1</v>
      </c>
      <c r="P68" s="5"/>
      <c r="Q68" s="5" t="n">
        <v>167</v>
      </c>
      <c r="R68" s="5"/>
      <c r="S68" s="5"/>
      <c r="T68" s="5"/>
      <c r="U68" s="6" t="n">
        <v>1470</v>
      </c>
      <c r="V68" s="7" t="n">
        <f aca="false">SUM(G68:T68)</f>
        <v>172</v>
      </c>
      <c r="W68" s="8" t="n">
        <f aca="false">IF(U68="","",U68*V68)</f>
        <v>252840</v>
      </c>
    </row>
    <row r="69" customFormat="false" ht="15" hidden="false" customHeight="false" outlineLevel="0" collapsed="false">
      <c r="A69" s="3" t="s">
        <v>23</v>
      </c>
      <c r="B69" s="3" t="s">
        <v>125</v>
      </c>
      <c r="C69" s="3" t="s">
        <v>170</v>
      </c>
      <c r="D69" s="4" t="s">
        <v>171</v>
      </c>
      <c r="E69" s="4" t="s">
        <v>173</v>
      </c>
      <c r="F69" s="3" t="s">
        <v>102</v>
      </c>
      <c r="G69" s="5"/>
      <c r="H69" s="5" t="n">
        <v>3</v>
      </c>
      <c r="I69" s="5" t="n">
        <v>2</v>
      </c>
      <c r="J69" s="5" t="n">
        <v>2</v>
      </c>
      <c r="K69" s="5" t="n">
        <v>1</v>
      </c>
      <c r="L69" s="5"/>
      <c r="M69" s="5"/>
      <c r="N69" s="5"/>
      <c r="O69" s="5" t="n">
        <v>1</v>
      </c>
      <c r="P69" s="5" t="n">
        <v>1</v>
      </c>
      <c r="Q69" s="5" t="n">
        <v>109</v>
      </c>
      <c r="R69" s="5"/>
      <c r="S69" s="5"/>
      <c r="T69" s="5"/>
      <c r="U69" s="6" t="n">
        <v>1470</v>
      </c>
      <c r="V69" s="7" t="n">
        <f aca="false">SUM(G69:T69)</f>
        <v>119</v>
      </c>
      <c r="W69" s="8" t="n">
        <f aca="false">IF(U69="","",U69*V69)</f>
        <v>174930</v>
      </c>
    </row>
    <row r="70" customFormat="false" ht="15" hidden="false" customHeight="false" outlineLevel="0" collapsed="false">
      <c r="A70" s="3" t="s">
        <v>23</v>
      </c>
      <c r="B70" s="3" t="s">
        <v>174</v>
      </c>
      <c r="C70" s="3" t="s">
        <v>175</v>
      </c>
      <c r="D70" s="4" t="s">
        <v>176</v>
      </c>
      <c r="E70" s="4" t="s">
        <v>177</v>
      </c>
      <c r="F70" s="3" t="s">
        <v>41</v>
      </c>
      <c r="G70" s="5"/>
      <c r="H70" s="5"/>
      <c r="I70" s="5"/>
      <c r="J70" s="5"/>
      <c r="K70" s="5" t="n">
        <v>1</v>
      </c>
      <c r="L70" s="5"/>
      <c r="M70" s="5"/>
      <c r="N70" s="5"/>
      <c r="O70" s="5"/>
      <c r="P70" s="5"/>
      <c r="Q70" s="5"/>
      <c r="R70" s="5"/>
      <c r="S70" s="5"/>
      <c r="T70" s="5"/>
      <c r="U70" s="6" t="n">
        <v>2590</v>
      </c>
      <c r="V70" s="7" t="n">
        <f aca="false">SUM(G70:T70)</f>
        <v>1</v>
      </c>
      <c r="W70" s="8" t="n">
        <f aca="false">IF(U70="","",U70*V70)</f>
        <v>2590</v>
      </c>
    </row>
    <row r="71" customFormat="false" ht="15" hidden="false" customHeight="false" outlineLevel="0" collapsed="false">
      <c r="A71" s="3" t="s">
        <v>23</v>
      </c>
      <c r="B71" s="3" t="s">
        <v>174</v>
      </c>
      <c r="C71" s="3" t="s">
        <v>178</v>
      </c>
      <c r="D71" s="4" t="s">
        <v>179</v>
      </c>
      <c r="E71" s="4" t="s">
        <v>180</v>
      </c>
      <c r="F71" s="3" t="s">
        <v>41</v>
      </c>
      <c r="G71" s="5"/>
      <c r="H71" s="5"/>
      <c r="I71" s="5"/>
      <c r="J71" s="5"/>
      <c r="K71" s="5" t="n">
        <v>1</v>
      </c>
      <c r="L71" s="5"/>
      <c r="M71" s="5"/>
      <c r="N71" s="5"/>
      <c r="O71" s="5" t="n">
        <v>1</v>
      </c>
      <c r="P71" s="5"/>
      <c r="Q71" s="5"/>
      <c r="R71" s="5"/>
      <c r="S71" s="5"/>
      <c r="T71" s="5"/>
      <c r="U71" s="6" t="n">
        <v>3500</v>
      </c>
      <c r="V71" s="7" t="n">
        <f aca="false">SUM(G71:T71)</f>
        <v>2</v>
      </c>
      <c r="W71" s="8" t="n">
        <f aca="false">IF(U71="","",U71*V71)</f>
        <v>7000</v>
      </c>
    </row>
    <row r="72" customFormat="false" ht="15" hidden="false" customHeight="false" outlineLevel="0" collapsed="false">
      <c r="A72" s="3" t="s">
        <v>23</v>
      </c>
      <c r="B72" s="3" t="s">
        <v>181</v>
      </c>
      <c r="C72" s="3" t="s">
        <v>182</v>
      </c>
      <c r="D72" s="4" t="s">
        <v>183</v>
      </c>
      <c r="E72" s="4" t="s">
        <v>184</v>
      </c>
      <c r="F72" s="3" t="s">
        <v>100</v>
      </c>
      <c r="G72" s="5"/>
      <c r="H72" s="5"/>
      <c r="I72" s="5"/>
      <c r="J72" s="5" t="n">
        <v>1</v>
      </c>
      <c r="K72" s="5"/>
      <c r="L72" s="5"/>
      <c r="M72" s="5"/>
      <c r="N72" s="5"/>
      <c r="O72" s="5"/>
      <c r="P72" s="5"/>
      <c r="Q72" s="5"/>
      <c r="R72" s="5" t="n">
        <v>2</v>
      </c>
      <c r="S72" s="5" t="n">
        <v>1</v>
      </c>
      <c r="T72" s="5"/>
      <c r="U72" s="6" t="n">
        <v>1560</v>
      </c>
      <c r="V72" s="7" t="n">
        <f aca="false">SUM(G72:T72)</f>
        <v>4</v>
      </c>
      <c r="W72" s="8" t="n">
        <f aca="false">IF(U72="","",U72*V72)</f>
        <v>6240</v>
      </c>
    </row>
    <row r="73" customFormat="false" ht="15" hidden="false" customHeight="false" outlineLevel="0" collapsed="false">
      <c r="A73" s="3" t="s">
        <v>23</v>
      </c>
      <c r="B73" s="3" t="s">
        <v>181</v>
      </c>
      <c r="C73" s="3" t="s">
        <v>182</v>
      </c>
      <c r="D73" s="4" t="s">
        <v>183</v>
      </c>
      <c r="E73" s="4" t="s">
        <v>185</v>
      </c>
      <c r="F73" s="3" t="s">
        <v>102</v>
      </c>
      <c r="G73" s="5"/>
      <c r="H73" s="5" t="n">
        <v>1</v>
      </c>
      <c r="I73" s="5" t="n">
        <v>2</v>
      </c>
      <c r="J73" s="5"/>
      <c r="K73" s="5"/>
      <c r="L73" s="5"/>
      <c r="M73" s="5"/>
      <c r="N73" s="5"/>
      <c r="O73" s="5"/>
      <c r="P73" s="5" t="n">
        <v>1</v>
      </c>
      <c r="Q73" s="5" t="n">
        <v>5</v>
      </c>
      <c r="R73" s="5"/>
      <c r="S73" s="5"/>
      <c r="T73" s="5" t="n">
        <v>1</v>
      </c>
      <c r="U73" s="6" t="n">
        <v>1560</v>
      </c>
      <c r="V73" s="7" t="n">
        <f aca="false">SUM(G73:T73)</f>
        <v>10</v>
      </c>
      <c r="W73" s="8" t="n">
        <f aca="false">IF(U73="","",U73*V73)</f>
        <v>15600</v>
      </c>
    </row>
    <row r="74" customFormat="false" ht="15" hidden="false" customHeight="false" outlineLevel="0" collapsed="false">
      <c r="A74" s="3" t="s">
        <v>23</v>
      </c>
      <c r="B74" s="3" t="s">
        <v>181</v>
      </c>
      <c r="C74" s="3" t="s">
        <v>186</v>
      </c>
      <c r="D74" s="4" t="s">
        <v>187</v>
      </c>
      <c r="E74" s="4" t="s">
        <v>188</v>
      </c>
      <c r="F74" s="3" t="s">
        <v>100</v>
      </c>
      <c r="G74" s="5" t="n">
        <v>1</v>
      </c>
      <c r="H74" s="5" t="n">
        <v>2</v>
      </c>
      <c r="I74" s="5"/>
      <c r="J74" s="5"/>
      <c r="K74" s="5"/>
      <c r="L74" s="5"/>
      <c r="M74" s="5"/>
      <c r="N74" s="5"/>
      <c r="O74" s="5"/>
      <c r="P74" s="5"/>
      <c r="Q74" s="5" t="n">
        <v>2</v>
      </c>
      <c r="R74" s="5"/>
      <c r="S74" s="5"/>
      <c r="T74" s="5"/>
      <c r="U74" s="6" t="n">
        <v>1700</v>
      </c>
      <c r="V74" s="7" t="n">
        <f aca="false">SUM(G74:T74)</f>
        <v>5</v>
      </c>
      <c r="W74" s="8" t="n">
        <f aca="false">IF(U74="","",U74*V74)</f>
        <v>8500</v>
      </c>
    </row>
    <row r="75" customFormat="false" ht="15" hidden="false" customHeight="false" outlineLevel="0" collapsed="false">
      <c r="A75" s="3" t="s">
        <v>23</v>
      </c>
      <c r="B75" s="3" t="s">
        <v>181</v>
      </c>
      <c r="C75" s="3" t="s">
        <v>189</v>
      </c>
      <c r="D75" s="4" t="s">
        <v>190</v>
      </c>
      <c r="E75" s="4" t="s">
        <v>191</v>
      </c>
      <c r="F75" s="3" t="s">
        <v>62</v>
      </c>
      <c r="G75" s="5" t="n">
        <v>5</v>
      </c>
      <c r="H75" s="5"/>
      <c r="I75" s="5"/>
      <c r="J75" s="5"/>
      <c r="K75" s="5" t="n">
        <v>4</v>
      </c>
      <c r="L75" s="5"/>
      <c r="M75" s="5"/>
      <c r="N75" s="5" t="n">
        <v>1</v>
      </c>
      <c r="O75" s="5"/>
      <c r="P75" s="5"/>
      <c r="Q75" s="5" t="n">
        <v>44</v>
      </c>
      <c r="R75" s="5"/>
      <c r="S75" s="5"/>
      <c r="T75" s="5"/>
      <c r="U75" s="6" t="n">
        <v>2890</v>
      </c>
      <c r="V75" s="7" t="n">
        <f aca="false">SUM(G75:T75)</f>
        <v>54</v>
      </c>
      <c r="W75" s="8" t="n">
        <f aca="false">IF(U75="","",U75*V75)</f>
        <v>156060</v>
      </c>
    </row>
    <row r="76" customFormat="false" ht="15" hidden="false" customHeight="false" outlineLevel="0" collapsed="false">
      <c r="A76" s="3" t="s">
        <v>23</v>
      </c>
      <c r="B76" s="3" t="s">
        <v>181</v>
      </c>
      <c r="C76" s="3" t="s">
        <v>189</v>
      </c>
      <c r="D76" s="4" t="s">
        <v>190</v>
      </c>
      <c r="E76" s="4" t="s">
        <v>192</v>
      </c>
      <c r="F76" s="3" t="s">
        <v>64</v>
      </c>
      <c r="G76" s="5" t="n">
        <v>1</v>
      </c>
      <c r="H76" s="5"/>
      <c r="I76" s="5"/>
      <c r="J76" s="5"/>
      <c r="K76" s="5" t="n">
        <v>3</v>
      </c>
      <c r="L76" s="5" t="n">
        <v>1</v>
      </c>
      <c r="M76" s="5" t="n">
        <v>1</v>
      </c>
      <c r="N76" s="5" t="n">
        <v>1</v>
      </c>
      <c r="O76" s="5" t="n">
        <v>1</v>
      </c>
      <c r="P76" s="5"/>
      <c r="Q76" s="5" t="n">
        <v>17</v>
      </c>
      <c r="R76" s="5" t="n">
        <v>1</v>
      </c>
      <c r="S76" s="5"/>
      <c r="T76" s="5"/>
      <c r="U76" s="6" t="n">
        <v>2890</v>
      </c>
      <c r="V76" s="7" t="n">
        <f aca="false">SUM(G76:T76)</f>
        <v>26</v>
      </c>
      <c r="W76" s="8" t="n">
        <f aca="false">IF(U76="","",U76*V76)</f>
        <v>75140</v>
      </c>
    </row>
    <row r="77" customFormat="false" ht="15" hidden="false" customHeight="false" outlineLevel="0" collapsed="false">
      <c r="A77" s="3" t="s">
        <v>23</v>
      </c>
      <c r="B77" s="3" t="s">
        <v>181</v>
      </c>
      <c r="C77" s="3" t="s">
        <v>189</v>
      </c>
      <c r="D77" s="4" t="s">
        <v>190</v>
      </c>
      <c r="E77" s="4" t="s">
        <v>193</v>
      </c>
      <c r="F77" s="3" t="s">
        <v>54</v>
      </c>
      <c r="G77" s="5" t="n">
        <v>4</v>
      </c>
      <c r="H77" s="5"/>
      <c r="I77" s="5" t="n">
        <v>1</v>
      </c>
      <c r="J77" s="5" t="n">
        <v>2</v>
      </c>
      <c r="K77" s="5"/>
      <c r="L77" s="5"/>
      <c r="M77" s="5" t="n">
        <v>2</v>
      </c>
      <c r="N77" s="5"/>
      <c r="O77" s="5" t="n">
        <v>1</v>
      </c>
      <c r="P77" s="5" t="n">
        <v>1</v>
      </c>
      <c r="Q77" s="5" t="n">
        <v>1</v>
      </c>
      <c r="R77" s="5" t="n">
        <v>1</v>
      </c>
      <c r="S77" s="5"/>
      <c r="T77" s="5"/>
      <c r="U77" s="6" t="n">
        <v>2890</v>
      </c>
      <c r="V77" s="7" t="n">
        <f aca="false">SUM(G77:T77)</f>
        <v>13</v>
      </c>
      <c r="W77" s="8" t="n">
        <f aca="false">IF(U77="","",U77*V77)</f>
        <v>37570</v>
      </c>
    </row>
    <row r="78" customFormat="false" ht="15" hidden="false" customHeight="false" outlineLevel="0" collapsed="false">
      <c r="A78" s="3" t="s">
        <v>23</v>
      </c>
      <c r="B78" s="3" t="s">
        <v>181</v>
      </c>
      <c r="C78" s="3" t="s">
        <v>189</v>
      </c>
      <c r="D78" s="4" t="s">
        <v>190</v>
      </c>
      <c r="E78" s="4" t="s">
        <v>194</v>
      </c>
      <c r="F78" s="3" t="s">
        <v>56</v>
      </c>
      <c r="G78" s="5" t="n">
        <v>1</v>
      </c>
      <c r="H78" s="5"/>
      <c r="I78" s="5"/>
      <c r="J78" s="5"/>
      <c r="K78" s="5"/>
      <c r="L78" s="5"/>
      <c r="M78" s="5"/>
      <c r="N78" s="5"/>
      <c r="O78" s="5" t="n">
        <v>1</v>
      </c>
      <c r="P78" s="5"/>
      <c r="Q78" s="5"/>
      <c r="R78" s="5" t="n">
        <v>1</v>
      </c>
      <c r="S78" s="5" t="n">
        <v>2</v>
      </c>
      <c r="T78" s="5"/>
      <c r="U78" s="6" t="n">
        <v>2890</v>
      </c>
      <c r="V78" s="7" t="n">
        <f aca="false">SUM(G78:T78)</f>
        <v>5</v>
      </c>
      <c r="W78" s="8" t="n">
        <f aca="false">IF(U78="","",U78*V78)</f>
        <v>14450</v>
      </c>
    </row>
    <row r="79" customFormat="false" ht="15" hidden="false" customHeight="false" outlineLevel="0" collapsed="false">
      <c r="A79" s="3" t="s">
        <v>23</v>
      </c>
      <c r="B79" s="3" t="s">
        <v>181</v>
      </c>
      <c r="C79" s="3" t="s">
        <v>189</v>
      </c>
      <c r="D79" s="4" t="s">
        <v>190</v>
      </c>
      <c r="E79" s="4" t="s">
        <v>195</v>
      </c>
      <c r="F79" s="3" t="s">
        <v>58</v>
      </c>
      <c r="G79" s="5"/>
      <c r="H79" s="5"/>
      <c r="I79" s="5"/>
      <c r="J79" s="5"/>
      <c r="K79" s="5"/>
      <c r="L79" s="5"/>
      <c r="M79" s="5"/>
      <c r="N79" s="5"/>
      <c r="O79" s="5"/>
      <c r="P79" s="5" t="n">
        <v>1</v>
      </c>
      <c r="Q79" s="5"/>
      <c r="R79" s="5"/>
      <c r="S79" s="5"/>
      <c r="T79" s="5"/>
      <c r="U79" s="6" t="n">
        <v>2890</v>
      </c>
      <c r="V79" s="7" t="n">
        <f aca="false">SUM(G79:T79)</f>
        <v>1</v>
      </c>
      <c r="W79" s="8" t="n">
        <f aca="false">IF(U79="","",U79*V79)</f>
        <v>2890</v>
      </c>
    </row>
    <row r="80" customFormat="false" ht="15" hidden="false" customHeight="false" outlineLevel="0" collapsed="false">
      <c r="A80" s="3" t="s">
        <v>23</v>
      </c>
      <c r="B80" s="3" t="s">
        <v>181</v>
      </c>
      <c r="C80" s="3" t="s">
        <v>196</v>
      </c>
      <c r="D80" s="4" t="s">
        <v>197</v>
      </c>
      <c r="E80" s="4" t="s">
        <v>198</v>
      </c>
      <c r="F80" s="3" t="s">
        <v>62</v>
      </c>
      <c r="G80" s="5"/>
      <c r="H80" s="5"/>
      <c r="I80" s="5" t="n">
        <v>4</v>
      </c>
      <c r="J80" s="5" t="n">
        <v>1</v>
      </c>
      <c r="K80" s="5"/>
      <c r="L80" s="5"/>
      <c r="M80" s="5"/>
      <c r="N80" s="5"/>
      <c r="O80" s="5"/>
      <c r="P80" s="5" t="n">
        <v>1</v>
      </c>
      <c r="Q80" s="5"/>
      <c r="R80" s="5"/>
      <c r="S80" s="5"/>
      <c r="T80" s="5" t="n">
        <v>1</v>
      </c>
      <c r="U80" s="6" t="n">
        <v>2790</v>
      </c>
      <c r="V80" s="7" t="n">
        <f aca="false">SUM(G80:T80)</f>
        <v>7</v>
      </c>
      <c r="W80" s="8" t="n">
        <f aca="false">IF(U80="","",U80*V80)</f>
        <v>19530</v>
      </c>
    </row>
    <row r="81" customFormat="false" ht="15" hidden="false" customHeight="false" outlineLevel="0" collapsed="false">
      <c r="A81" s="3" t="s">
        <v>23</v>
      </c>
      <c r="B81" s="3" t="s">
        <v>181</v>
      </c>
      <c r="C81" s="3" t="s">
        <v>196</v>
      </c>
      <c r="D81" s="4" t="s">
        <v>197</v>
      </c>
      <c r="E81" s="9"/>
      <c r="F81" s="3" t="s">
        <v>54</v>
      </c>
      <c r="G81" s="5"/>
      <c r="H81" s="5"/>
      <c r="I81" s="5" t="n">
        <v>1</v>
      </c>
      <c r="J81" s="5" t="n">
        <v>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6" t="n">
        <v>2790</v>
      </c>
      <c r="V81" s="7" t="n">
        <f aca="false">SUM(G81:T81)</f>
        <v>2</v>
      </c>
      <c r="W81" s="8" t="n">
        <f aca="false">IF(U81="","",U81*V81)</f>
        <v>5580</v>
      </c>
    </row>
    <row r="82" customFormat="false" ht="15" hidden="false" customHeight="false" outlineLevel="0" collapsed="false">
      <c r="A82" s="3" t="s">
        <v>23</v>
      </c>
      <c r="B82" s="3" t="s">
        <v>181</v>
      </c>
      <c r="C82" s="3" t="s">
        <v>196</v>
      </c>
      <c r="D82" s="4" t="s">
        <v>197</v>
      </c>
      <c r="E82" s="4" t="s">
        <v>199</v>
      </c>
      <c r="F82" s="3" t="s">
        <v>56</v>
      </c>
      <c r="G82" s="5"/>
      <c r="H82" s="5"/>
      <c r="I82" s="5"/>
      <c r="J82" s="5"/>
      <c r="K82" s="5"/>
      <c r="L82" s="5"/>
      <c r="M82" s="5" t="n">
        <v>1</v>
      </c>
      <c r="N82" s="5" t="n">
        <v>1</v>
      </c>
      <c r="O82" s="5"/>
      <c r="P82" s="5"/>
      <c r="Q82" s="5" t="n">
        <v>1</v>
      </c>
      <c r="R82" s="5" t="n">
        <v>1</v>
      </c>
      <c r="S82" s="5"/>
      <c r="T82" s="5"/>
      <c r="U82" s="6" t="n">
        <v>2790</v>
      </c>
      <c r="V82" s="7" t="n">
        <f aca="false">SUM(G82:T82)</f>
        <v>4</v>
      </c>
      <c r="W82" s="8" t="n">
        <f aca="false">IF(U82="","",U82*V82)</f>
        <v>11160</v>
      </c>
    </row>
    <row r="83" customFormat="false" ht="15" hidden="false" customHeight="false" outlineLevel="0" collapsed="false">
      <c r="A83" s="3" t="s">
        <v>23</v>
      </c>
      <c r="B83" s="3" t="s">
        <v>181</v>
      </c>
      <c r="C83" s="3" t="s">
        <v>196</v>
      </c>
      <c r="D83" s="4" t="s">
        <v>197</v>
      </c>
      <c r="E83" s="4" t="s">
        <v>200</v>
      </c>
      <c r="F83" s="3" t="s">
        <v>58</v>
      </c>
      <c r="G83" s="5"/>
      <c r="H83" s="5"/>
      <c r="I83" s="5" t="n">
        <v>1</v>
      </c>
      <c r="J83" s="5"/>
      <c r="K83" s="5"/>
      <c r="L83" s="5" t="n">
        <v>1</v>
      </c>
      <c r="M83" s="5"/>
      <c r="N83" s="5"/>
      <c r="O83" s="5" t="n">
        <v>1</v>
      </c>
      <c r="P83" s="5"/>
      <c r="Q83" s="5" t="n">
        <v>1</v>
      </c>
      <c r="R83" s="5"/>
      <c r="S83" s="5"/>
      <c r="T83" s="5" t="n">
        <v>1</v>
      </c>
      <c r="U83" s="6" t="n">
        <v>2790</v>
      </c>
      <c r="V83" s="7" t="n">
        <f aca="false">SUM(G83:T83)</f>
        <v>5</v>
      </c>
      <c r="W83" s="8" t="n">
        <f aca="false">IF(U83="","",U83*V83)</f>
        <v>13950</v>
      </c>
    </row>
    <row r="84" customFormat="false" ht="15" hidden="false" customHeight="false" outlineLevel="0" collapsed="false">
      <c r="A84" s="3" t="s">
        <v>23</v>
      </c>
      <c r="B84" s="3" t="s">
        <v>181</v>
      </c>
      <c r="C84" s="3" t="s">
        <v>201</v>
      </c>
      <c r="D84" s="4" t="s">
        <v>202</v>
      </c>
      <c r="E84" s="4" t="s">
        <v>203</v>
      </c>
      <c r="F84" s="3" t="s">
        <v>56</v>
      </c>
      <c r="G84" s="5"/>
      <c r="H84" s="5"/>
      <c r="I84" s="5"/>
      <c r="J84" s="5"/>
      <c r="K84" s="5" t="n">
        <v>1</v>
      </c>
      <c r="L84" s="5"/>
      <c r="M84" s="5"/>
      <c r="N84" s="5"/>
      <c r="O84" s="5"/>
      <c r="P84" s="5"/>
      <c r="Q84" s="5"/>
      <c r="R84" s="5"/>
      <c r="S84" s="5"/>
      <c r="T84" s="5"/>
      <c r="U84" s="6" t="n">
        <v>1490</v>
      </c>
      <c r="V84" s="7" t="n">
        <f aca="false">SUM(G84:T84)</f>
        <v>1</v>
      </c>
      <c r="W84" s="8" t="n">
        <f aca="false">IF(U84="","",U84*V84)</f>
        <v>1490</v>
      </c>
    </row>
    <row r="85" customFormat="false" ht="15" hidden="false" customHeight="false" outlineLevel="0" collapsed="false">
      <c r="A85" s="3" t="s">
        <v>23</v>
      </c>
      <c r="B85" s="3" t="s">
        <v>181</v>
      </c>
      <c r="C85" s="3" t="s">
        <v>201</v>
      </c>
      <c r="D85" s="4" t="s">
        <v>202</v>
      </c>
      <c r="E85" s="4" t="s">
        <v>204</v>
      </c>
      <c r="F85" s="3" t="s">
        <v>58</v>
      </c>
      <c r="G85" s="5" t="n">
        <v>3</v>
      </c>
      <c r="H85" s="5"/>
      <c r="I85" s="5"/>
      <c r="J85" s="5"/>
      <c r="K85" s="5"/>
      <c r="L85" s="5"/>
      <c r="M85" s="5"/>
      <c r="N85" s="5"/>
      <c r="O85" s="5"/>
      <c r="P85" s="5" t="n">
        <v>1</v>
      </c>
      <c r="Q85" s="5" t="n">
        <v>16</v>
      </c>
      <c r="R85" s="5"/>
      <c r="S85" s="5"/>
      <c r="T85" s="5"/>
      <c r="U85" s="6" t="n">
        <v>1490</v>
      </c>
      <c r="V85" s="7" t="n">
        <f aca="false">SUM(G85:T85)</f>
        <v>20</v>
      </c>
      <c r="W85" s="8" t="n">
        <f aca="false">IF(U85="","",U85*V85)</f>
        <v>29800</v>
      </c>
    </row>
    <row r="86" customFormat="false" ht="15" hidden="false" customHeight="false" outlineLevel="0" collapsed="false">
      <c r="A86" s="3" t="s">
        <v>23</v>
      </c>
      <c r="B86" s="3" t="s">
        <v>181</v>
      </c>
      <c r="C86" s="3" t="s">
        <v>201</v>
      </c>
      <c r="D86" s="4" t="s">
        <v>202</v>
      </c>
      <c r="E86" s="4" t="s">
        <v>205</v>
      </c>
      <c r="F86" s="3" t="s">
        <v>95</v>
      </c>
      <c r="G86" s="5" t="n">
        <v>3</v>
      </c>
      <c r="H86" s="5"/>
      <c r="I86" s="5"/>
      <c r="J86" s="5"/>
      <c r="K86" s="5"/>
      <c r="L86" s="5"/>
      <c r="M86" s="5"/>
      <c r="N86" s="5"/>
      <c r="O86" s="5" t="n">
        <v>1</v>
      </c>
      <c r="P86" s="5" t="n">
        <v>5</v>
      </c>
      <c r="Q86" s="5" t="n">
        <v>12</v>
      </c>
      <c r="R86" s="5"/>
      <c r="S86" s="5"/>
      <c r="T86" s="5"/>
      <c r="U86" s="6" t="n">
        <v>1490</v>
      </c>
      <c r="V86" s="7" t="n">
        <f aca="false">SUM(G86:T86)</f>
        <v>21</v>
      </c>
      <c r="W86" s="8" t="n">
        <f aca="false">IF(U86="","",U86*V86)</f>
        <v>31290</v>
      </c>
    </row>
    <row r="87" customFormat="false" ht="15" hidden="false" customHeight="false" outlineLevel="0" collapsed="false">
      <c r="A87" s="3" t="s">
        <v>23</v>
      </c>
      <c r="B87" s="3" t="s">
        <v>181</v>
      </c>
      <c r="C87" s="3" t="s">
        <v>206</v>
      </c>
      <c r="D87" s="4" t="s">
        <v>207</v>
      </c>
      <c r="E87" s="4" t="s">
        <v>208</v>
      </c>
      <c r="F87" s="3" t="s">
        <v>64</v>
      </c>
      <c r="G87" s="5"/>
      <c r="H87" s="5"/>
      <c r="I87" s="5"/>
      <c r="J87" s="5"/>
      <c r="K87" s="5" t="n">
        <v>1</v>
      </c>
      <c r="L87" s="5"/>
      <c r="M87" s="5"/>
      <c r="N87" s="5"/>
      <c r="O87" s="5"/>
      <c r="P87" s="5"/>
      <c r="Q87" s="5"/>
      <c r="R87" s="5"/>
      <c r="S87" s="5"/>
      <c r="T87" s="5"/>
      <c r="U87" s="6" t="n">
        <v>1590</v>
      </c>
      <c r="V87" s="7" t="n">
        <f aca="false">SUM(G87:T87)</f>
        <v>1</v>
      </c>
      <c r="W87" s="8" t="n">
        <f aca="false">IF(U87="","",U87*V87)</f>
        <v>1590</v>
      </c>
    </row>
    <row r="88" customFormat="false" ht="15" hidden="false" customHeight="false" outlineLevel="0" collapsed="false">
      <c r="A88" s="3" t="s">
        <v>23</v>
      </c>
      <c r="B88" s="3" t="s">
        <v>181</v>
      </c>
      <c r="C88" s="3" t="s">
        <v>206</v>
      </c>
      <c r="D88" s="4" t="s">
        <v>207</v>
      </c>
      <c r="E88" s="4" t="s">
        <v>209</v>
      </c>
      <c r="F88" s="3" t="s">
        <v>54</v>
      </c>
      <c r="G88" s="5"/>
      <c r="H88" s="5"/>
      <c r="I88" s="5"/>
      <c r="J88" s="5" t="n">
        <v>1</v>
      </c>
      <c r="K88" s="5"/>
      <c r="L88" s="5"/>
      <c r="M88" s="5"/>
      <c r="N88" s="5"/>
      <c r="O88" s="5"/>
      <c r="P88" s="5"/>
      <c r="Q88" s="5"/>
      <c r="R88" s="5"/>
      <c r="S88" s="5" t="n">
        <v>1</v>
      </c>
      <c r="T88" s="5"/>
      <c r="U88" s="6" t="n">
        <v>1590</v>
      </c>
      <c r="V88" s="7" t="n">
        <f aca="false">SUM(G88:T88)</f>
        <v>2</v>
      </c>
      <c r="W88" s="8" t="n">
        <f aca="false">IF(U88="","",U88*V88)</f>
        <v>3180</v>
      </c>
    </row>
    <row r="89" customFormat="false" ht="15" hidden="false" customHeight="false" outlineLevel="0" collapsed="false">
      <c r="A89" s="3" t="s">
        <v>23</v>
      </c>
      <c r="B89" s="3" t="s">
        <v>181</v>
      </c>
      <c r="C89" s="3" t="s">
        <v>206</v>
      </c>
      <c r="D89" s="4" t="s">
        <v>207</v>
      </c>
      <c r="E89" s="4" t="s">
        <v>210</v>
      </c>
      <c r="F89" s="3" t="s">
        <v>56</v>
      </c>
      <c r="G89" s="5"/>
      <c r="H89" s="5"/>
      <c r="I89" s="5"/>
      <c r="J89" s="5"/>
      <c r="K89" s="5" t="n">
        <v>1</v>
      </c>
      <c r="L89" s="5"/>
      <c r="M89" s="5"/>
      <c r="N89" s="5"/>
      <c r="O89" s="5" t="n">
        <v>1</v>
      </c>
      <c r="P89" s="5"/>
      <c r="Q89" s="5" t="n">
        <v>1</v>
      </c>
      <c r="R89" s="5" t="n">
        <v>1</v>
      </c>
      <c r="S89" s="5"/>
      <c r="T89" s="5"/>
      <c r="U89" s="6" t="n">
        <v>1590</v>
      </c>
      <c r="V89" s="7" t="n">
        <f aca="false">SUM(G89:T89)</f>
        <v>4</v>
      </c>
      <c r="W89" s="8" t="n">
        <f aca="false">IF(U89="","",U89*V89)</f>
        <v>6360</v>
      </c>
    </row>
    <row r="90" customFormat="false" ht="15" hidden="false" customHeight="false" outlineLevel="0" collapsed="false">
      <c r="A90" s="3" t="s">
        <v>23</v>
      </c>
      <c r="B90" s="3" t="s">
        <v>181</v>
      </c>
      <c r="C90" s="3" t="s">
        <v>206</v>
      </c>
      <c r="D90" s="4" t="s">
        <v>207</v>
      </c>
      <c r="E90" s="9"/>
      <c r="F90" s="3" t="s">
        <v>58</v>
      </c>
      <c r="G90" s="5"/>
      <c r="H90" s="5"/>
      <c r="I90" s="5" t="n">
        <v>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 t="n">
        <v>1590</v>
      </c>
      <c r="V90" s="7" t="n">
        <f aca="false">SUM(G90:T90)</f>
        <v>1</v>
      </c>
      <c r="W90" s="8" t="n">
        <f aca="false">IF(U90="","",U90*V90)</f>
        <v>1590</v>
      </c>
    </row>
    <row r="91" customFormat="false" ht="15" hidden="false" customHeight="false" outlineLevel="0" collapsed="false">
      <c r="A91" s="3" t="s">
        <v>23</v>
      </c>
      <c r="B91" s="3" t="s">
        <v>181</v>
      </c>
      <c r="C91" s="3" t="s">
        <v>211</v>
      </c>
      <c r="D91" s="4" t="s">
        <v>212</v>
      </c>
      <c r="E91" s="9"/>
      <c r="F91" s="3" t="s">
        <v>62</v>
      </c>
      <c r="G91" s="5"/>
      <c r="H91" s="5"/>
      <c r="I91" s="5"/>
      <c r="J91" s="5" t="n">
        <v>1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6" t="n">
        <v>1490</v>
      </c>
      <c r="V91" s="7" t="n">
        <f aca="false">SUM(G91:T91)</f>
        <v>1</v>
      </c>
      <c r="W91" s="8" t="n">
        <f aca="false">IF(U91="","",U91*V91)</f>
        <v>1490</v>
      </c>
    </row>
    <row r="92" customFormat="false" ht="15" hidden="false" customHeight="false" outlineLevel="0" collapsed="false">
      <c r="A92" s="3" t="s">
        <v>23</v>
      </c>
      <c r="B92" s="3" t="s">
        <v>181</v>
      </c>
      <c r="C92" s="3" t="s">
        <v>211</v>
      </c>
      <c r="D92" s="4" t="s">
        <v>212</v>
      </c>
      <c r="E92" s="4" t="s">
        <v>213</v>
      </c>
      <c r="F92" s="3" t="s">
        <v>56</v>
      </c>
      <c r="G92" s="5"/>
      <c r="H92" s="5"/>
      <c r="I92" s="5"/>
      <c r="J92" s="5"/>
      <c r="K92" s="5"/>
      <c r="L92" s="5"/>
      <c r="M92" s="5"/>
      <c r="N92" s="5"/>
      <c r="O92" s="5" t="n">
        <v>2</v>
      </c>
      <c r="P92" s="5"/>
      <c r="Q92" s="5" t="n">
        <v>2</v>
      </c>
      <c r="R92" s="5"/>
      <c r="S92" s="5"/>
      <c r="T92" s="5"/>
      <c r="U92" s="6" t="n">
        <v>1490</v>
      </c>
      <c r="V92" s="7" t="n">
        <f aca="false">SUM(G92:T92)</f>
        <v>4</v>
      </c>
      <c r="W92" s="8" t="n">
        <f aca="false">IF(U92="","",U92*V92)</f>
        <v>5960</v>
      </c>
    </row>
    <row r="93" customFormat="false" ht="15" hidden="false" customHeight="false" outlineLevel="0" collapsed="false">
      <c r="A93" s="3" t="s">
        <v>23</v>
      </c>
      <c r="B93" s="3" t="s">
        <v>181</v>
      </c>
      <c r="C93" s="3" t="s">
        <v>211</v>
      </c>
      <c r="D93" s="4" t="s">
        <v>212</v>
      </c>
      <c r="E93" s="4" t="s">
        <v>214</v>
      </c>
      <c r="F93" s="3" t="s">
        <v>58</v>
      </c>
      <c r="G93" s="5" t="n">
        <v>4</v>
      </c>
      <c r="H93" s="5"/>
      <c r="I93" s="5" t="n">
        <v>1</v>
      </c>
      <c r="J93" s="5" t="n">
        <v>1</v>
      </c>
      <c r="K93" s="5" t="n">
        <v>1</v>
      </c>
      <c r="L93" s="5"/>
      <c r="M93" s="5"/>
      <c r="N93" s="5"/>
      <c r="O93" s="5"/>
      <c r="P93" s="5"/>
      <c r="Q93" s="5" t="n">
        <v>3</v>
      </c>
      <c r="R93" s="5"/>
      <c r="S93" s="5"/>
      <c r="T93" s="5"/>
      <c r="U93" s="6" t="n">
        <v>1490</v>
      </c>
      <c r="V93" s="7" t="n">
        <f aca="false">SUM(G93:T93)</f>
        <v>10</v>
      </c>
      <c r="W93" s="8" t="n">
        <f aca="false">IF(U93="","",U93*V93)</f>
        <v>14900</v>
      </c>
    </row>
    <row r="94" customFormat="false" ht="15" hidden="false" customHeight="false" outlineLevel="0" collapsed="false">
      <c r="A94" s="3" t="s">
        <v>23</v>
      </c>
      <c r="B94" s="3" t="s">
        <v>181</v>
      </c>
      <c r="C94" s="3" t="s">
        <v>215</v>
      </c>
      <c r="D94" s="4" t="s">
        <v>216</v>
      </c>
      <c r="E94" s="4" t="s">
        <v>217</v>
      </c>
      <c r="F94" s="3" t="s">
        <v>64</v>
      </c>
      <c r="G94" s="5"/>
      <c r="H94" s="5"/>
      <c r="I94" s="5"/>
      <c r="J94" s="5"/>
      <c r="K94" s="5"/>
      <c r="L94" s="5"/>
      <c r="M94" s="5"/>
      <c r="N94" s="5"/>
      <c r="O94" s="5" t="n">
        <v>1</v>
      </c>
      <c r="P94" s="5"/>
      <c r="Q94" s="5"/>
      <c r="R94" s="5"/>
      <c r="S94" s="5"/>
      <c r="T94" s="5"/>
      <c r="U94" s="6" t="n">
        <v>1590</v>
      </c>
      <c r="V94" s="7" t="n">
        <f aca="false">SUM(G94:T94)</f>
        <v>1</v>
      </c>
      <c r="W94" s="8" t="n">
        <f aca="false">IF(U94="","",U94*V94)</f>
        <v>1590</v>
      </c>
    </row>
    <row r="95" customFormat="false" ht="15" hidden="false" customHeight="false" outlineLevel="0" collapsed="false">
      <c r="A95" s="3" t="s">
        <v>23</v>
      </c>
      <c r="B95" s="3" t="s">
        <v>181</v>
      </c>
      <c r="C95" s="3" t="s">
        <v>215</v>
      </c>
      <c r="D95" s="4" t="s">
        <v>216</v>
      </c>
      <c r="E95" s="4" t="s">
        <v>218</v>
      </c>
      <c r="F95" s="3" t="s">
        <v>58</v>
      </c>
      <c r="G95" s="5"/>
      <c r="H95" s="5"/>
      <c r="I95" s="5"/>
      <c r="J95" s="5"/>
      <c r="K95" s="5"/>
      <c r="L95" s="5"/>
      <c r="M95" s="5"/>
      <c r="N95" s="5"/>
      <c r="O95" s="5" t="n">
        <v>1</v>
      </c>
      <c r="P95" s="5" t="n">
        <v>1</v>
      </c>
      <c r="Q95" s="5" t="n">
        <v>1</v>
      </c>
      <c r="R95" s="5"/>
      <c r="S95" s="5"/>
      <c r="T95" s="5"/>
      <c r="U95" s="6" t="n">
        <v>1590</v>
      </c>
      <c r="V95" s="7" t="n">
        <f aca="false">SUM(G95:T95)</f>
        <v>3</v>
      </c>
      <c r="W95" s="8" t="n">
        <f aca="false">IF(U95="","",U95*V95)</f>
        <v>4770</v>
      </c>
    </row>
    <row r="96" customFormat="false" ht="15" hidden="false" customHeight="false" outlineLevel="0" collapsed="false">
      <c r="A96" s="3" t="s">
        <v>23</v>
      </c>
      <c r="B96" s="3" t="s">
        <v>181</v>
      </c>
      <c r="C96" s="3" t="s">
        <v>215</v>
      </c>
      <c r="D96" s="4" t="s">
        <v>216</v>
      </c>
      <c r="E96" s="4" t="s">
        <v>219</v>
      </c>
      <c r="F96" s="3" t="s">
        <v>95</v>
      </c>
      <c r="G96" s="5"/>
      <c r="H96" s="5"/>
      <c r="I96" s="5"/>
      <c r="J96" s="5" t="n">
        <v>1</v>
      </c>
      <c r="K96" s="5"/>
      <c r="L96" s="5"/>
      <c r="M96" s="5"/>
      <c r="N96" s="5"/>
      <c r="O96" s="5"/>
      <c r="P96" s="5"/>
      <c r="Q96" s="5" t="n">
        <v>1</v>
      </c>
      <c r="R96" s="5"/>
      <c r="S96" s="5"/>
      <c r="T96" s="5"/>
      <c r="U96" s="6" t="n">
        <v>1590</v>
      </c>
      <c r="V96" s="7" t="n">
        <f aca="false">SUM(G96:T96)</f>
        <v>2</v>
      </c>
      <c r="W96" s="8" t="n">
        <f aca="false">IF(U96="","",U96*V96)</f>
        <v>3180</v>
      </c>
    </row>
    <row r="97" customFormat="false" ht="15" hidden="false" customHeight="false" outlineLevel="0" collapsed="false">
      <c r="A97" s="3" t="s">
        <v>23</v>
      </c>
      <c r="B97" s="3" t="s">
        <v>181</v>
      </c>
      <c r="C97" s="3" t="s">
        <v>220</v>
      </c>
      <c r="D97" s="4" t="s">
        <v>221</v>
      </c>
      <c r="E97" s="4" t="s">
        <v>222</v>
      </c>
      <c r="F97" s="3" t="s">
        <v>64</v>
      </c>
      <c r="G97" s="5"/>
      <c r="H97" s="5"/>
      <c r="I97" s="5"/>
      <c r="J97" s="5"/>
      <c r="K97" s="5"/>
      <c r="L97" s="5"/>
      <c r="M97" s="5" t="n">
        <v>1</v>
      </c>
      <c r="N97" s="5"/>
      <c r="O97" s="5" t="n">
        <v>1</v>
      </c>
      <c r="P97" s="5"/>
      <c r="Q97" s="5"/>
      <c r="R97" s="5" t="n">
        <v>1</v>
      </c>
      <c r="S97" s="5"/>
      <c r="T97" s="5"/>
      <c r="U97" s="6" t="n">
        <v>1590</v>
      </c>
      <c r="V97" s="7" t="n">
        <f aca="false">SUM(G97:T97)</f>
        <v>3</v>
      </c>
      <c r="W97" s="8" t="n">
        <f aca="false">IF(U97="","",U97*V97)</f>
        <v>4770</v>
      </c>
    </row>
    <row r="98" customFormat="false" ht="15" hidden="false" customHeight="false" outlineLevel="0" collapsed="false">
      <c r="A98" s="3" t="s">
        <v>23</v>
      </c>
      <c r="B98" s="3" t="s">
        <v>181</v>
      </c>
      <c r="C98" s="3" t="s">
        <v>220</v>
      </c>
      <c r="D98" s="4" t="s">
        <v>221</v>
      </c>
      <c r="E98" s="9"/>
      <c r="F98" s="3" t="s">
        <v>54</v>
      </c>
      <c r="G98" s="5"/>
      <c r="H98" s="5"/>
      <c r="I98" s="5"/>
      <c r="J98" s="5" t="n">
        <v>1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6" t="n">
        <v>1590</v>
      </c>
      <c r="V98" s="7" t="n">
        <f aca="false">SUM(G98:T98)</f>
        <v>1</v>
      </c>
      <c r="W98" s="8" t="n">
        <f aca="false">IF(U98="","",U98*V98)</f>
        <v>1590</v>
      </c>
    </row>
    <row r="99" customFormat="false" ht="15" hidden="false" customHeight="false" outlineLevel="0" collapsed="false">
      <c r="A99" s="3" t="s">
        <v>23</v>
      </c>
      <c r="B99" s="3" t="s">
        <v>181</v>
      </c>
      <c r="C99" s="3" t="s">
        <v>220</v>
      </c>
      <c r="D99" s="4" t="s">
        <v>221</v>
      </c>
      <c r="E99" s="4" t="s">
        <v>223</v>
      </c>
      <c r="F99" s="3" t="s">
        <v>56</v>
      </c>
      <c r="G99" s="5"/>
      <c r="H99" s="5"/>
      <c r="I99" s="5" t="n">
        <v>1</v>
      </c>
      <c r="J99" s="5"/>
      <c r="K99" s="5"/>
      <c r="L99" s="5"/>
      <c r="M99" s="5" t="n">
        <v>1</v>
      </c>
      <c r="N99" s="5"/>
      <c r="O99" s="5" t="n">
        <v>1</v>
      </c>
      <c r="P99" s="5"/>
      <c r="Q99" s="5"/>
      <c r="R99" s="5"/>
      <c r="S99" s="5" t="n">
        <v>1</v>
      </c>
      <c r="T99" s="5"/>
      <c r="U99" s="6" t="n">
        <v>1590</v>
      </c>
      <c r="V99" s="7" t="n">
        <f aca="false">SUM(G99:T99)</f>
        <v>4</v>
      </c>
      <c r="W99" s="8" t="n">
        <f aca="false">IF(U99="","",U99*V99)</f>
        <v>6360</v>
      </c>
    </row>
    <row r="100" customFormat="false" ht="15" hidden="false" customHeight="false" outlineLevel="0" collapsed="false">
      <c r="A100" s="3" t="s">
        <v>23</v>
      </c>
      <c r="B100" s="3" t="s">
        <v>181</v>
      </c>
      <c r="C100" s="3" t="s">
        <v>220</v>
      </c>
      <c r="D100" s="4" t="s">
        <v>221</v>
      </c>
      <c r="E100" s="4" t="s">
        <v>224</v>
      </c>
      <c r="F100" s="3" t="s">
        <v>58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 t="n">
        <v>2</v>
      </c>
      <c r="T100" s="5" t="n">
        <v>1</v>
      </c>
      <c r="U100" s="6" t="n">
        <v>1590</v>
      </c>
      <c r="V100" s="7" t="n">
        <f aca="false">SUM(G100:T100)</f>
        <v>3</v>
      </c>
      <c r="W100" s="8" t="n">
        <f aca="false">IF(U100="","",U100*V100)</f>
        <v>4770</v>
      </c>
    </row>
    <row r="101" customFormat="false" ht="15" hidden="false" customHeight="false" outlineLevel="0" collapsed="false">
      <c r="A101" s="3" t="s">
        <v>23</v>
      </c>
      <c r="B101" s="3" t="s">
        <v>181</v>
      </c>
      <c r="C101" s="3" t="s">
        <v>225</v>
      </c>
      <c r="D101" s="4" t="s">
        <v>226</v>
      </c>
      <c r="E101" s="4" t="s">
        <v>227</v>
      </c>
      <c r="F101" s="3" t="s">
        <v>64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 t="n">
        <v>1</v>
      </c>
      <c r="U101" s="6" t="n">
        <v>1760</v>
      </c>
      <c r="V101" s="7" t="n">
        <f aca="false">SUM(G101:T101)</f>
        <v>1</v>
      </c>
      <c r="W101" s="8" t="n">
        <f aca="false">IF(U101="","",U101*V101)</f>
        <v>1760</v>
      </c>
    </row>
    <row r="102" customFormat="false" ht="15" hidden="false" customHeight="false" outlineLevel="0" collapsed="false">
      <c r="A102" s="3" t="s">
        <v>23</v>
      </c>
      <c r="B102" s="3" t="s">
        <v>181</v>
      </c>
      <c r="C102" s="3" t="s">
        <v>225</v>
      </c>
      <c r="D102" s="4" t="s">
        <v>226</v>
      </c>
      <c r="E102" s="4" t="s">
        <v>228</v>
      </c>
      <c r="F102" s="3" t="s">
        <v>56</v>
      </c>
      <c r="G102" s="5"/>
      <c r="H102" s="5"/>
      <c r="I102" s="5"/>
      <c r="J102" s="5"/>
      <c r="K102" s="5"/>
      <c r="L102" s="5"/>
      <c r="M102" s="5" t="n">
        <v>1</v>
      </c>
      <c r="N102" s="5"/>
      <c r="O102" s="5"/>
      <c r="P102" s="5"/>
      <c r="Q102" s="5"/>
      <c r="R102" s="5"/>
      <c r="S102" s="5"/>
      <c r="T102" s="5"/>
      <c r="U102" s="6" t="n">
        <v>1760</v>
      </c>
      <c r="V102" s="7" t="n">
        <f aca="false">SUM(G102:T102)</f>
        <v>1</v>
      </c>
      <c r="W102" s="8" t="n">
        <f aca="false">IF(U102="","",U102*V102)</f>
        <v>1760</v>
      </c>
    </row>
    <row r="103" customFormat="false" ht="15" hidden="false" customHeight="false" outlineLevel="0" collapsed="false">
      <c r="A103" s="3" t="s">
        <v>23</v>
      </c>
      <c r="B103" s="3" t="s">
        <v>181</v>
      </c>
      <c r="C103" s="3" t="s">
        <v>225</v>
      </c>
      <c r="D103" s="4" t="s">
        <v>226</v>
      </c>
      <c r="E103" s="4" t="s">
        <v>229</v>
      </c>
      <c r="F103" s="3" t="s">
        <v>95</v>
      </c>
      <c r="G103" s="5"/>
      <c r="H103" s="5"/>
      <c r="I103" s="5"/>
      <c r="J103" s="5" t="n">
        <v>1</v>
      </c>
      <c r="K103" s="5"/>
      <c r="L103" s="5"/>
      <c r="M103" s="5"/>
      <c r="N103" s="5"/>
      <c r="O103" s="5"/>
      <c r="P103" s="5"/>
      <c r="Q103" s="5"/>
      <c r="R103" s="5"/>
      <c r="S103" s="5" t="n">
        <v>1</v>
      </c>
      <c r="T103" s="5"/>
      <c r="U103" s="6" t="n">
        <v>1760</v>
      </c>
      <c r="V103" s="7" t="n">
        <f aca="false">SUM(G103:T103)</f>
        <v>2</v>
      </c>
      <c r="W103" s="8" t="n">
        <f aca="false">IF(U103="","",U103*V103)</f>
        <v>3520</v>
      </c>
    </row>
    <row r="104" customFormat="false" ht="15" hidden="false" customHeight="false" outlineLevel="0" collapsed="false">
      <c r="A104" s="3" t="s">
        <v>23</v>
      </c>
      <c r="B104" s="3" t="s">
        <v>230</v>
      </c>
      <c r="C104" s="3" t="s">
        <v>231</v>
      </c>
      <c r="D104" s="4" t="s">
        <v>232</v>
      </c>
      <c r="E104" s="4" t="s">
        <v>233</v>
      </c>
      <c r="F104" s="3" t="s">
        <v>28</v>
      </c>
      <c r="G104" s="5" t="n">
        <v>1</v>
      </c>
      <c r="H104" s="5" t="n">
        <v>1</v>
      </c>
      <c r="I104" s="5" t="n">
        <v>1</v>
      </c>
      <c r="J104" s="5"/>
      <c r="K104" s="5"/>
      <c r="L104" s="5"/>
      <c r="M104" s="5" t="n">
        <v>1</v>
      </c>
      <c r="N104" s="5"/>
      <c r="O104" s="5"/>
      <c r="P104" s="5"/>
      <c r="Q104" s="5" t="n">
        <v>29</v>
      </c>
      <c r="R104" s="5"/>
      <c r="S104" s="5" t="n">
        <v>1</v>
      </c>
      <c r="T104" s="5"/>
      <c r="U104" s="6" t="n">
        <v>1510</v>
      </c>
      <c r="V104" s="7" t="n">
        <f aca="false">SUM(G104:T104)</f>
        <v>34</v>
      </c>
      <c r="W104" s="8" t="n">
        <f aca="false">IF(U104="","",U104*V104)</f>
        <v>51340</v>
      </c>
    </row>
    <row r="105" customFormat="false" ht="15" hidden="false" customHeight="false" outlineLevel="0" collapsed="false">
      <c r="A105" s="3" t="s">
        <v>23</v>
      </c>
      <c r="B105" s="3" t="s">
        <v>230</v>
      </c>
      <c r="C105" s="3" t="s">
        <v>231</v>
      </c>
      <c r="D105" s="4" t="s">
        <v>232</v>
      </c>
      <c r="E105" s="4" t="s">
        <v>234</v>
      </c>
      <c r="F105" s="3" t="s">
        <v>30</v>
      </c>
      <c r="G105" s="5"/>
      <c r="H105" s="5"/>
      <c r="I105" s="5"/>
      <c r="J105" s="5" t="n">
        <v>2</v>
      </c>
      <c r="K105" s="5" t="n">
        <v>1</v>
      </c>
      <c r="L105" s="5"/>
      <c r="M105" s="5" t="n">
        <v>2</v>
      </c>
      <c r="N105" s="5"/>
      <c r="O105" s="5" t="n">
        <v>1</v>
      </c>
      <c r="P105" s="5" t="n">
        <v>2</v>
      </c>
      <c r="Q105" s="5" t="n">
        <v>9</v>
      </c>
      <c r="R105" s="5"/>
      <c r="S105" s="5"/>
      <c r="T105" s="5" t="n">
        <v>1</v>
      </c>
      <c r="U105" s="6" t="n">
        <v>1510</v>
      </c>
      <c r="V105" s="7" t="n">
        <f aca="false">SUM(G105:T105)</f>
        <v>18</v>
      </c>
      <c r="W105" s="8" t="n">
        <f aca="false">IF(U105="","",U105*V105)</f>
        <v>27180</v>
      </c>
    </row>
    <row r="106" customFormat="false" ht="15" hidden="false" customHeight="false" outlineLevel="0" collapsed="false">
      <c r="A106" s="3" t="s">
        <v>23</v>
      </c>
      <c r="B106" s="3" t="s">
        <v>230</v>
      </c>
      <c r="C106" s="3" t="s">
        <v>231</v>
      </c>
      <c r="D106" s="4" t="s">
        <v>232</v>
      </c>
      <c r="E106" s="4" t="s">
        <v>235</v>
      </c>
      <c r="F106" s="3" t="s">
        <v>32</v>
      </c>
      <c r="G106" s="5" t="n">
        <v>7</v>
      </c>
      <c r="H106" s="5"/>
      <c r="I106" s="5"/>
      <c r="J106" s="5"/>
      <c r="K106" s="5"/>
      <c r="L106" s="5"/>
      <c r="M106" s="5" t="n">
        <v>1</v>
      </c>
      <c r="N106" s="5"/>
      <c r="O106" s="5"/>
      <c r="P106" s="5" t="n">
        <v>1</v>
      </c>
      <c r="Q106" s="5"/>
      <c r="R106" s="5"/>
      <c r="S106" s="5"/>
      <c r="T106" s="5"/>
      <c r="U106" s="6" t="n">
        <v>1510</v>
      </c>
      <c r="V106" s="7" t="n">
        <f aca="false">SUM(G106:T106)</f>
        <v>9</v>
      </c>
      <c r="W106" s="8" t="n">
        <f aca="false">IF(U106="","",U106*V106)</f>
        <v>13590</v>
      </c>
    </row>
    <row r="107" customFormat="false" ht="15" hidden="false" customHeight="false" outlineLevel="0" collapsed="false">
      <c r="A107" s="3" t="s">
        <v>23</v>
      </c>
      <c r="B107" s="3" t="s">
        <v>230</v>
      </c>
      <c r="C107" s="3" t="s">
        <v>236</v>
      </c>
      <c r="D107" s="4" t="s">
        <v>237</v>
      </c>
      <c r="E107" s="4" t="s">
        <v>238</v>
      </c>
      <c r="F107" s="3" t="s">
        <v>28</v>
      </c>
      <c r="G107" s="5"/>
      <c r="H107" s="5" t="n">
        <v>1</v>
      </c>
      <c r="I107" s="5" t="n">
        <v>3</v>
      </c>
      <c r="J107" s="5" t="n">
        <v>1</v>
      </c>
      <c r="K107" s="5" t="n">
        <v>2</v>
      </c>
      <c r="L107" s="5"/>
      <c r="M107" s="5"/>
      <c r="N107" s="5"/>
      <c r="O107" s="5"/>
      <c r="P107" s="5"/>
      <c r="Q107" s="5" t="n">
        <v>22</v>
      </c>
      <c r="R107" s="5"/>
      <c r="S107" s="5" t="n">
        <v>2</v>
      </c>
      <c r="T107" s="5"/>
      <c r="U107" s="6" t="n">
        <v>1480</v>
      </c>
      <c r="V107" s="7" t="n">
        <f aca="false">SUM(G107:T107)</f>
        <v>31</v>
      </c>
      <c r="W107" s="8" t="n">
        <f aca="false">IF(U107="","",U107*V107)</f>
        <v>45880</v>
      </c>
    </row>
    <row r="108" customFormat="false" ht="15" hidden="false" customHeight="false" outlineLevel="0" collapsed="false">
      <c r="A108" s="3" t="s">
        <v>23</v>
      </c>
      <c r="B108" s="3" t="s">
        <v>230</v>
      </c>
      <c r="C108" s="3" t="s">
        <v>236</v>
      </c>
      <c r="D108" s="4" t="s">
        <v>237</v>
      </c>
      <c r="E108" s="4" t="s">
        <v>239</v>
      </c>
      <c r="F108" s="3" t="s">
        <v>30</v>
      </c>
      <c r="G108" s="5"/>
      <c r="H108" s="5"/>
      <c r="I108" s="5"/>
      <c r="J108" s="5"/>
      <c r="K108" s="5"/>
      <c r="L108" s="5"/>
      <c r="M108" s="5" t="n">
        <v>1</v>
      </c>
      <c r="N108" s="5"/>
      <c r="O108" s="5"/>
      <c r="P108" s="5"/>
      <c r="Q108" s="5" t="n">
        <v>2</v>
      </c>
      <c r="R108" s="5"/>
      <c r="S108" s="5"/>
      <c r="T108" s="5"/>
      <c r="U108" s="6" t="n">
        <v>1480</v>
      </c>
      <c r="V108" s="7" t="n">
        <f aca="false">SUM(G108:T108)</f>
        <v>3</v>
      </c>
      <c r="W108" s="8" t="n">
        <f aca="false">IF(U108="","",U108*V108)</f>
        <v>4440</v>
      </c>
    </row>
    <row r="109" customFormat="false" ht="15" hidden="false" customHeight="false" outlineLevel="0" collapsed="false">
      <c r="A109" s="3" t="s">
        <v>23</v>
      </c>
      <c r="B109" s="3" t="s">
        <v>230</v>
      </c>
      <c r="C109" s="3" t="s">
        <v>236</v>
      </c>
      <c r="D109" s="4" t="s">
        <v>237</v>
      </c>
      <c r="E109" s="4" t="s">
        <v>240</v>
      </c>
      <c r="F109" s="3" t="s">
        <v>32</v>
      </c>
      <c r="G109" s="5"/>
      <c r="H109" s="5"/>
      <c r="I109" s="5"/>
      <c r="J109" s="5"/>
      <c r="K109" s="5"/>
      <c r="L109" s="5"/>
      <c r="M109" s="5"/>
      <c r="N109" s="5"/>
      <c r="O109" s="5"/>
      <c r="P109" s="5" t="n">
        <v>2</v>
      </c>
      <c r="Q109" s="5" t="n">
        <v>2</v>
      </c>
      <c r="R109" s="5"/>
      <c r="S109" s="5"/>
      <c r="T109" s="5"/>
      <c r="U109" s="6" t="n">
        <v>1480</v>
      </c>
      <c r="V109" s="7" t="n">
        <f aca="false">SUM(G109:T109)</f>
        <v>4</v>
      </c>
      <c r="W109" s="8" t="n">
        <f aca="false">IF(U109="","",U109*V109)</f>
        <v>5920</v>
      </c>
    </row>
    <row r="110" customFormat="false" ht="15" hidden="false" customHeight="false" outlineLevel="0" collapsed="false">
      <c r="A110" s="3" t="s">
        <v>23</v>
      </c>
      <c r="B110" s="3" t="s">
        <v>230</v>
      </c>
      <c r="C110" s="3" t="s">
        <v>241</v>
      </c>
      <c r="D110" s="4" t="s">
        <v>242</v>
      </c>
      <c r="E110" s="4" t="s">
        <v>243</v>
      </c>
      <c r="F110" s="3" t="s">
        <v>28</v>
      </c>
      <c r="G110" s="5"/>
      <c r="H110" s="5" t="n">
        <v>1</v>
      </c>
      <c r="I110" s="5"/>
      <c r="J110" s="5" t="n">
        <v>1</v>
      </c>
      <c r="K110" s="5"/>
      <c r="L110" s="5"/>
      <c r="M110" s="5"/>
      <c r="N110" s="5"/>
      <c r="O110" s="5" t="n">
        <v>1</v>
      </c>
      <c r="P110" s="5"/>
      <c r="Q110" s="5" t="n">
        <v>9</v>
      </c>
      <c r="R110" s="5"/>
      <c r="S110" s="5"/>
      <c r="T110" s="5" t="n">
        <v>1</v>
      </c>
      <c r="U110" s="6" t="n">
        <v>1390</v>
      </c>
      <c r="V110" s="7" t="n">
        <f aca="false">SUM(G110:T110)</f>
        <v>13</v>
      </c>
      <c r="W110" s="8" t="n">
        <f aca="false">IF(U110="","",U110*V110)</f>
        <v>18070</v>
      </c>
    </row>
    <row r="111" customFormat="false" ht="15" hidden="false" customHeight="false" outlineLevel="0" collapsed="false">
      <c r="A111" s="3" t="s">
        <v>23</v>
      </c>
      <c r="B111" s="3" t="s">
        <v>230</v>
      </c>
      <c r="C111" s="3" t="s">
        <v>241</v>
      </c>
      <c r="D111" s="4" t="s">
        <v>242</v>
      </c>
      <c r="E111" s="4" t="s">
        <v>244</v>
      </c>
      <c r="F111" s="3" t="s">
        <v>30</v>
      </c>
      <c r="G111" s="5"/>
      <c r="H111" s="5" t="n">
        <v>1</v>
      </c>
      <c r="I111" s="5"/>
      <c r="J111" s="5"/>
      <c r="K111" s="5" t="n">
        <v>1</v>
      </c>
      <c r="L111" s="5"/>
      <c r="M111" s="5"/>
      <c r="N111" s="5"/>
      <c r="O111" s="5"/>
      <c r="P111" s="5"/>
      <c r="Q111" s="5" t="n">
        <v>10</v>
      </c>
      <c r="R111" s="5"/>
      <c r="S111" s="5" t="n">
        <v>1</v>
      </c>
      <c r="T111" s="5"/>
      <c r="U111" s="6" t="n">
        <v>1390</v>
      </c>
      <c r="V111" s="7" t="n">
        <f aca="false">SUM(G111:T111)</f>
        <v>13</v>
      </c>
      <c r="W111" s="8" t="n">
        <f aca="false">IF(U111="","",U111*V111)</f>
        <v>18070</v>
      </c>
    </row>
    <row r="112" customFormat="false" ht="15" hidden="false" customHeight="false" outlineLevel="0" collapsed="false">
      <c r="A112" s="3" t="s">
        <v>23</v>
      </c>
      <c r="B112" s="3" t="s">
        <v>230</v>
      </c>
      <c r="C112" s="3" t="s">
        <v>241</v>
      </c>
      <c r="D112" s="4" t="s">
        <v>242</v>
      </c>
      <c r="E112" s="4" t="s">
        <v>245</v>
      </c>
      <c r="F112" s="3" t="s">
        <v>32</v>
      </c>
      <c r="G112" s="5" t="n">
        <v>1</v>
      </c>
      <c r="H112" s="5" t="n">
        <v>2</v>
      </c>
      <c r="I112" s="5"/>
      <c r="J112" s="5"/>
      <c r="K112" s="5"/>
      <c r="L112" s="5"/>
      <c r="M112" s="5"/>
      <c r="N112" s="5"/>
      <c r="O112" s="5"/>
      <c r="P112" s="5" t="n">
        <v>2</v>
      </c>
      <c r="Q112" s="5" t="n">
        <v>3</v>
      </c>
      <c r="R112" s="5"/>
      <c r="S112" s="5"/>
      <c r="T112" s="5"/>
      <c r="U112" s="6" t="n">
        <v>1390</v>
      </c>
      <c r="V112" s="7" t="n">
        <f aca="false">SUM(G112:T112)</f>
        <v>8</v>
      </c>
      <c r="W112" s="8" t="n">
        <f aca="false">IF(U112="","",U112*V112)</f>
        <v>11120</v>
      </c>
    </row>
    <row r="113" customFormat="false" ht="15" hidden="false" customHeight="false" outlineLevel="0" collapsed="false">
      <c r="A113" s="3" t="s">
        <v>23</v>
      </c>
      <c r="B113" s="3" t="s">
        <v>230</v>
      </c>
      <c r="C113" s="3" t="s">
        <v>246</v>
      </c>
      <c r="D113" s="4" t="s">
        <v>247</v>
      </c>
      <c r="E113" s="4" t="s">
        <v>248</v>
      </c>
      <c r="F113" s="3" t="s">
        <v>28</v>
      </c>
      <c r="G113" s="5"/>
      <c r="H113" s="5"/>
      <c r="I113" s="5"/>
      <c r="J113" s="5"/>
      <c r="K113" s="5"/>
      <c r="L113" s="5"/>
      <c r="M113" s="5"/>
      <c r="N113" s="5"/>
      <c r="O113" s="5" t="n">
        <v>1</v>
      </c>
      <c r="P113" s="5" t="n">
        <v>2</v>
      </c>
      <c r="Q113" s="5" t="n">
        <v>23</v>
      </c>
      <c r="R113" s="5"/>
      <c r="S113" s="5"/>
      <c r="T113" s="5"/>
      <c r="U113" s="6" t="n">
        <v>1390</v>
      </c>
      <c r="V113" s="7" t="n">
        <f aca="false">SUM(G113:T113)</f>
        <v>26</v>
      </c>
      <c r="W113" s="8" t="n">
        <f aca="false">IF(U113="","",U113*V113)</f>
        <v>36140</v>
      </c>
    </row>
    <row r="114" customFormat="false" ht="15" hidden="false" customHeight="false" outlineLevel="0" collapsed="false">
      <c r="A114" s="3" t="s">
        <v>23</v>
      </c>
      <c r="B114" s="3" t="s">
        <v>230</v>
      </c>
      <c r="C114" s="3" t="s">
        <v>246</v>
      </c>
      <c r="D114" s="4" t="s">
        <v>247</v>
      </c>
      <c r="E114" s="4" t="s">
        <v>249</v>
      </c>
      <c r="F114" s="3" t="s">
        <v>30</v>
      </c>
      <c r="G114" s="5"/>
      <c r="H114" s="5"/>
      <c r="I114" s="5"/>
      <c r="J114" s="5" t="n">
        <v>1</v>
      </c>
      <c r="K114" s="5" t="n">
        <v>1</v>
      </c>
      <c r="L114" s="5"/>
      <c r="M114" s="5"/>
      <c r="N114" s="5"/>
      <c r="O114" s="5" t="n">
        <v>1</v>
      </c>
      <c r="P114" s="5"/>
      <c r="Q114" s="5" t="n">
        <v>17</v>
      </c>
      <c r="R114" s="5"/>
      <c r="S114" s="5"/>
      <c r="T114" s="5" t="n">
        <v>1</v>
      </c>
      <c r="U114" s="6" t="n">
        <v>1390</v>
      </c>
      <c r="V114" s="7" t="n">
        <f aca="false">SUM(G114:T114)</f>
        <v>21</v>
      </c>
      <c r="W114" s="8" t="n">
        <f aca="false">IF(U114="","",U114*V114)</f>
        <v>29190</v>
      </c>
    </row>
    <row r="115" customFormat="false" ht="15" hidden="false" customHeight="false" outlineLevel="0" collapsed="false">
      <c r="A115" s="3" t="s">
        <v>23</v>
      </c>
      <c r="B115" s="3" t="s">
        <v>230</v>
      </c>
      <c r="C115" s="3" t="s">
        <v>246</v>
      </c>
      <c r="D115" s="4" t="s">
        <v>247</v>
      </c>
      <c r="E115" s="4" t="s">
        <v>250</v>
      </c>
      <c r="F115" s="3" t="s">
        <v>32</v>
      </c>
      <c r="G115" s="5"/>
      <c r="H115" s="5"/>
      <c r="I115" s="5"/>
      <c r="J115" s="5"/>
      <c r="K115" s="5" t="n">
        <v>1</v>
      </c>
      <c r="L115" s="5" t="n">
        <v>1</v>
      </c>
      <c r="M115" s="5"/>
      <c r="N115" s="5"/>
      <c r="O115" s="5" t="n">
        <v>1</v>
      </c>
      <c r="P115" s="5" t="n">
        <v>2</v>
      </c>
      <c r="Q115" s="5"/>
      <c r="R115" s="5"/>
      <c r="S115" s="5"/>
      <c r="T115" s="5"/>
      <c r="U115" s="6" t="n">
        <v>1390</v>
      </c>
      <c r="V115" s="7" t="n">
        <f aca="false">SUM(G115:T115)</f>
        <v>5</v>
      </c>
      <c r="W115" s="8" t="n">
        <f aca="false">IF(U115="","",U115*V115)</f>
        <v>6950</v>
      </c>
    </row>
    <row r="116" customFormat="false" ht="15" hidden="false" customHeight="false" outlineLevel="0" collapsed="false">
      <c r="A116" s="3" t="s">
        <v>23</v>
      </c>
      <c r="B116" s="3" t="s">
        <v>251</v>
      </c>
      <c r="C116" s="3" t="s">
        <v>252</v>
      </c>
      <c r="D116" s="4" t="s">
        <v>253</v>
      </c>
      <c r="E116" s="4" t="s">
        <v>254</v>
      </c>
      <c r="F116" s="3" t="s">
        <v>62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 t="n">
        <v>1</v>
      </c>
      <c r="R116" s="5"/>
      <c r="S116" s="5"/>
      <c r="T116" s="5"/>
      <c r="U116" s="10"/>
      <c r="V116" s="7" t="n">
        <f aca="false">SUM(G116:T116)</f>
        <v>1</v>
      </c>
      <c r="W116" s="8" t="str">
        <f aca="false">IF(U116="","",U116*V116)</f>
        <v/>
      </c>
    </row>
    <row r="117" customFormat="false" ht="15" hidden="false" customHeight="false" outlineLevel="0" collapsed="false">
      <c r="A117" s="3" t="s">
        <v>23</v>
      </c>
      <c r="B117" s="3" t="s">
        <v>251</v>
      </c>
      <c r="C117" s="3" t="s">
        <v>252</v>
      </c>
      <c r="D117" s="4" t="s">
        <v>253</v>
      </c>
      <c r="E117" s="4" t="s">
        <v>255</v>
      </c>
      <c r="F117" s="3" t="s">
        <v>64</v>
      </c>
      <c r="G117" s="5"/>
      <c r="H117" s="5"/>
      <c r="I117" s="5"/>
      <c r="J117" s="5" t="n">
        <v>1</v>
      </c>
      <c r="K117" s="5"/>
      <c r="L117" s="5"/>
      <c r="M117" s="5"/>
      <c r="N117" s="5"/>
      <c r="O117" s="5"/>
      <c r="P117" s="5"/>
      <c r="Q117" s="5" t="n">
        <v>14</v>
      </c>
      <c r="R117" s="5"/>
      <c r="S117" s="5"/>
      <c r="T117" s="5"/>
      <c r="U117" s="10"/>
      <c r="V117" s="7" t="n">
        <f aca="false">SUM(G117:T117)</f>
        <v>15</v>
      </c>
      <c r="W117" s="8" t="str">
        <f aca="false">IF(U117="","",U117*V117)</f>
        <v/>
      </c>
    </row>
    <row r="118" customFormat="false" ht="15" hidden="false" customHeight="false" outlineLevel="0" collapsed="false">
      <c r="A118" s="3" t="s">
        <v>23</v>
      </c>
      <c r="B118" s="3" t="s">
        <v>251</v>
      </c>
      <c r="C118" s="3" t="s">
        <v>252</v>
      </c>
      <c r="D118" s="4" t="s">
        <v>253</v>
      </c>
      <c r="E118" s="4" t="s">
        <v>256</v>
      </c>
      <c r="F118" s="3" t="s">
        <v>54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 t="n">
        <v>8</v>
      </c>
      <c r="R118" s="5"/>
      <c r="S118" s="5"/>
      <c r="T118" s="5"/>
      <c r="U118" s="10"/>
      <c r="V118" s="7" t="n">
        <f aca="false">SUM(G118:T118)</f>
        <v>8</v>
      </c>
      <c r="W118" s="8" t="str">
        <f aca="false">IF(U118="","",U118*V118)</f>
        <v/>
      </c>
    </row>
    <row r="119" customFormat="false" ht="15" hidden="false" customHeight="false" outlineLevel="0" collapsed="false">
      <c r="A119" s="3" t="s">
        <v>23</v>
      </c>
      <c r="B119" s="3" t="s">
        <v>251</v>
      </c>
      <c r="C119" s="3" t="s">
        <v>252</v>
      </c>
      <c r="D119" s="4" t="s">
        <v>253</v>
      </c>
      <c r="E119" s="4" t="s">
        <v>257</v>
      </c>
      <c r="F119" s="3" t="s">
        <v>56</v>
      </c>
      <c r="G119" s="5" t="n">
        <v>1</v>
      </c>
      <c r="H119" s="5"/>
      <c r="I119" s="5"/>
      <c r="J119" s="5"/>
      <c r="K119" s="5"/>
      <c r="L119" s="5"/>
      <c r="M119" s="5"/>
      <c r="N119" s="5"/>
      <c r="O119" s="5"/>
      <c r="P119" s="5"/>
      <c r="Q119" s="5" t="n">
        <v>5</v>
      </c>
      <c r="R119" s="5"/>
      <c r="S119" s="5"/>
      <c r="T119" s="5"/>
      <c r="U119" s="10"/>
      <c r="V119" s="7" t="n">
        <f aca="false">SUM(G119:T119)</f>
        <v>6</v>
      </c>
      <c r="W119" s="8" t="str">
        <f aca="false">IF(U119="","",U119*V119)</f>
        <v/>
      </c>
    </row>
    <row r="120" customFormat="false" ht="15" hidden="false" customHeight="false" outlineLevel="0" collapsed="false">
      <c r="A120" s="3" t="s">
        <v>23</v>
      </c>
      <c r="B120" s="3" t="s">
        <v>251</v>
      </c>
      <c r="C120" s="3" t="s">
        <v>252</v>
      </c>
      <c r="D120" s="4" t="s">
        <v>253</v>
      </c>
      <c r="E120" s="4" t="s">
        <v>258</v>
      </c>
      <c r="F120" s="3" t="s">
        <v>58</v>
      </c>
      <c r="G120" s="5" t="n">
        <v>1</v>
      </c>
      <c r="H120" s="5"/>
      <c r="I120" s="5"/>
      <c r="J120" s="5"/>
      <c r="K120" s="5"/>
      <c r="L120" s="5"/>
      <c r="M120" s="5"/>
      <c r="N120" s="5"/>
      <c r="O120" s="5"/>
      <c r="P120" s="5"/>
      <c r="Q120" s="5" t="n">
        <v>7</v>
      </c>
      <c r="R120" s="5"/>
      <c r="S120" s="5"/>
      <c r="T120" s="5"/>
      <c r="U120" s="10"/>
      <c r="V120" s="7" t="n">
        <f aca="false">SUM(G120:T120)</f>
        <v>8</v>
      </c>
      <c r="W120" s="8" t="str">
        <f aca="false">IF(U120="","",U120*V120)</f>
        <v/>
      </c>
    </row>
    <row r="121" customFormat="false" ht="15" hidden="false" customHeight="false" outlineLevel="0" collapsed="false">
      <c r="A121" s="3" t="s">
        <v>23</v>
      </c>
      <c r="B121" s="3" t="s">
        <v>251</v>
      </c>
      <c r="C121" s="3" t="s">
        <v>259</v>
      </c>
      <c r="D121" s="4" t="s">
        <v>260</v>
      </c>
      <c r="E121" s="4" t="s">
        <v>261</v>
      </c>
      <c r="F121" s="3" t="s">
        <v>54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 t="n">
        <v>3</v>
      </c>
      <c r="R121" s="5"/>
      <c r="S121" s="5" t="n">
        <v>1</v>
      </c>
      <c r="T121" s="5"/>
      <c r="U121" s="10"/>
      <c r="V121" s="7" t="n">
        <f aca="false">SUM(G121:T121)</f>
        <v>4</v>
      </c>
      <c r="W121" s="8" t="str">
        <f aca="false">IF(U121="","",U121*V121)</f>
        <v/>
      </c>
    </row>
    <row r="122" customFormat="false" ht="15" hidden="false" customHeight="false" outlineLevel="0" collapsed="false">
      <c r="A122" s="3" t="s">
        <v>23</v>
      </c>
      <c r="B122" s="3" t="s">
        <v>251</v>
      </c>
      <c r="C122" s="3" t="s">
        <v>259</v>
      </c>
      <c r="D122" s="4" t="s">
        <v>260</v>
      </c>
      <c r="E122" s="4" t="s">
        <v>262</v>
      </c>
      <c r="F122" s="3" t="s">
        <v>56</v>
      </c>
      <c r="G122" s="5" t="n">
        <v>1</v>
      </c>
      <c r="H122" s="5"/>
      <c r="I122" s="5"/>
      <c r="J122" s="5"/>
      <c r="K122" s="5"/>
      <c r="L122" s="5"/>
      <c r="M122" s="5"/>
      <c r="N122" s="5"/>
      <c r="O122" s="5"/>
      <c r="P122" s="5"/>
      <c r="Q122" s="5" t="n">
        <v>7</v>
      </c>
      <c r="R122" s="5"/>
      <c r="S122" s="5"/>
      <c r="T122" s="5"/>
      <c r="U122" s="10"/>
      <c r="V122" s="7" t="n">
        <f aca="false">SUM(G122:T122)</f>
        <v>8</v>
      </c>
      <c r="W122" s="8" t="str">
        <f aca="false">IF(U122="","",U122*V122)</f>
        <v/>
      </c>
    </row>
    <row r="123" customFormat="false" ht="15" hidden="false" customHeight="false" outlineLevel="0" collapsed="false">
      <c r="A123" s="3" t="s">
        <v>23</v>
      </c>
      <c r="B123" s="3" t="s">
        <v>251</v>
      </c>
      <c r="C123" s="3" t="s">
        <v>263</v>
      </c>
      <c r="D123" s="4" t="s">
        <v>264</v>
      </c>
      <c r="E123" s="4" t="s">
        <v>265</v>
      </c>
      <c r="F123" s="3" t="s">
        <v>62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 t="n">
        <v>15</v>
      </c>
      <c r="R123" s="5"/>
      <c r="S123" s="5"/>
      <c r="T123" s="5"/>
      <c r="U123" s="10"/>
      <c r="V123" s="7" t="n">
        <f aca="false">SUM(G123:T123)</f>
        <v>15</v>
      </c>
      <c r="W123" s="8" t="str">
        <f aca="false">IF(U123="","",U123*V123)</f>
        <v/>
      </c>
    </row>
    <row r="124" customFormat="false" ht="15" hidden="false" customHeight="false" outlineLevel="0" collapsed="false">
      <c r="A124" s="3" t="s">
        <v>23</v>
      </c>
      <c r="B124" s="3" t="s">
        <v>251</v>
      </c>
      <c r="C124" s="3" t="s">
        <v>263</v>
      </c>
      <c r="D124" s="4" t="s">
        <v>264</v>
      </c>
      <c r="E124" s="4" t="s">
        <v>266</v>
      </c>
      <c r="F124" s="3" t="s">
        <v>64</v>
      </c>
      <c r="G124" s="5"/>
      <c r="H124" s="5"/>
      <c r="I124" s="5"/>
      <c r="J124" s="5"/>
      <c r="K124" s="5"/>
      <c r="L124" s="5"/>
      <c r="M124" s="5"/>
      <c r="N124" s="5"/>
      <c r="O124" s="5"/>
      <c r="P124" s="5" t="n">
        <v>1</v>
      </c>
      <c r="Q124" s="5" t="n">
        <v>11</v>
      </c>
      <c r="R124" s="5"/>
      <c r="S124" s="5"/>
      <c r="T124" s="5"/>
      <c r="U124" s="10"/>
      <c r="V124" s="7" t="n">
        <f aca="false">SUM(G124:T124)</f>
        <v>12</v>
      </c>
      <c r="W124" s="8" t="str">
        <f aca="false">IF(U124="","",U124*V124)</f>
        <v/>
      </c>
    </row>
    <row r="125" customFormat="false" ht="15" hidden="false" customHeight="false" outlineLevel="0" collapsed="false">
      <c r="A125" s="3" t="s">
        <v>23</v>
      </c>
      <c r="B125" s="3" t="s">
        <v>251</v>
      </c>
      <c r="C125" s="3" t="s">
        <v>263</v>
      </c>
      <c r="D125" s="4" t="s">
        <v>264</v>
      </c>
      <c r="E125" s="4" t="s">
        <v>267</v>
      </c>
      <c r="F125" s="3" t="s">
        <v>54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 t="n">
        <v>14</v>
      </c>
      <c r="R125" s="5"/>
      <c r="S125" s="5" t="n">
        <v>1</v>
      </c>
      <c r="T125" s="5"/>
      <c r="U125" s="10"/>
      <c r="V125" s="7" t="n">
        <f aca="false">SUM(G125:T125)</f>
        <v>15</v>
      </c>
      <c r="W125" s="8" t="str">
        <f aca="false">IF(U125="","",U125*V125)</f>
        <v/>
      </c>
    </row>
    <row r="126" customFormat="false" ht="15" hidden="false" customHeight="false" outlineLevel="0" collapsed="false">
      <c r="A126" s="3" t="s">
        <v>23</v>
      </c>
      <c r="B126" s="3" t="s">
        <v>251</v>
      </c>
      <c r="C126" s="3" t="s">
        <v>263</v>
      </c>
      <c r="D126" s="4" t="s">
        <v>264</v>
      </c>
      <c r="E126" s="4" t="s">
        <v>268</v>
      </c>
      <c r="F126" s="3" t="s">
        <v>56</v>
      </c>
      <c r="G126" s="5"/>
      <c r="H126" s="5"/>
      <c r="I126" s="5" t="n">
        <v>1</v>
      </c>
      <c r="J126" s="5"/>
      <c r="K126" s="5"/>
      <c r="L126" s="5"/>
      <c r="M126" s="5"/>
      <c r="N126" s="5"/>
      <c r="O126" s="5"/>
      <c r="P126" s="5"/>
      <c r="Q126" s="5" t="n">
        <v>13</v>
      </c>
      <c r="R126" s="5"/>
      <c r="S126" s="5" t="n">
        <v>1</v>
      </c>
      <c r="T126" s="5"/>
      <c r="U126" s="10"/>
      <c r="V126" s="7" t="n">
        <f aca="false">SUM(G126:T126)</f>
        <v>15</v>
      </c>
      <c r="W126" s="8" t="str">
        <f aca="false">IF(U126="","",U126*V126)</f>
        <v/>
      </c>
    </row>
    <row r="127" customFormat="false" ht="15" hidden="false" customHeight="false" outlineLevel="0" collapsed="false">
      <c r="A127" s="3" t="s">
        <v>23</v>
      </c>
      <c r="B127" s="3" t="s">
        <v>251</v>
      </c>
      <c r="C127" s="3" t="s">
        <v>263</v>
      </c>
      <c r="D127" s="4" t="s">
        <v>264</v>
      </c>
      <c r="E127" s="4" t="s">
        <v>269</v>
      </c>
      <c r="F127" s="3" t="s">
        <v>58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 t="n">
        <v>14</v>
      </c>
      <c r="R127" s="5" t="n">
        <v>1</v>
      </c>
      <c r="S127" s="5" t="n">
        <v>1</v>
      </c>
      <c r="T127" s="5"/>
      <c r="U127" s="10"/>
      <c r="V127" s="7" t="n">
        <f aca="false">SUM(G127:T127)</f>
        <v>16</v>
      </c>
      <c r="W127" s="8" t="str">
        <f aca="false">IF(U127="","",U127*V127)</f>
        <v/>
      </c>
    </row>
    <row r="128" customFormat="false" ht="15" hidden="false" customHeight="false" outlineLevel="0" collapsed="false">
      <c r="A128" s="11" t="s">
        <v>270</v>
      </c>
      <c r="B128" s="11"/>
      <c r="C128" s="11"/>
      <c r="D128" s="11"/>
      <c r="E128" s="11"/>
      <c r="F128" s="11"/>
      <c r="G128" s="12" t="n">
        <f aca="false">SUM(G2:G127)</f>
        <v>84</v>
      </c>
      <c r="H128" s="12" t="n">
        <f aca="false">SUM(H2:H127)</f>
        <v>29</v>
      </c>
      <c r="I128" s="12" t="n">
        <f aca="false">SUM(I2:I127)</f>
        <v>37</v>
      </c>
      <c r="J128" s="12" t="n">
        <f aca="false">SUM(J2:J127)</f>
        <v>43</v>
      </c>
      <c r="K128" s="12" t="n">
        <f aca="false">SUM(K2:K127)</f>
        <v>64</v>
      </c>
      <c r="L128" s="12" t="n">
        <f aca="false">SUM(L2:L127)</f>
        <v>6</v>
      </c>
      <c r="M128" s="12" t="n">
        <f aca="false">SUM(M2:M127)</f>
        <v>22</v>
      </c>
      <c r="N128" s="12" t="n">
        <f aca="false">SUM(N2:N127)</f>
        <v>6</v>
      </c>
      <c r="O128" s="12" t="n">
        <f aca="false">SUM(O2:O127)</f>
        <v>38</v>
      </c>
      <c r="P128" s="12" t="n">
        <f aca="false">SUM(P2:P127)</f>
        <v>43</v>
      </c>
      <c r="Q128" s="12" t="n">
        <f aca="false">SUM(Q2:Q127)</f>
        <v>1893</v>
      </c>
      <c r="R128" s="12" t="n">
        <f aca="false">SUM(R2:R127)</f>
        <v>20</v>
      </c>
      <c r="S128" s="12" t="n">
        <f aca="false">SUM(S2:S127)</f>
        <v>27</v>
      </c>
      <c r="T128" s="12" t="n">
        <f aca="false">SUM(T2:T127)</f>
        <v>19</v>
      </c>
      <c r="U128" s="13"/>
      <c r="V128" s="12" t="n">
        <f aca="false">SUM(V2:V127)</f>
        <v>2331</v>
      </c>
      <c r="W128" s="13" t="n">
        <f aca="false">SUM(W2:W127)</f>
        <v>3590385</v>
      </c>
    </row>
    <row r="130" customFormat="false" ht="15" hidden="false" customHeight="false" outlineLevel="0" collapsed="false">
      <c r="A130" s="14" t="s">
        <v>271</v>
      </c>
    </row>
    <row r="131" customFormat="false" ht="15" hidden="false" customHeight="false" outlineLevel="0" collapsed="false">
      <c r="A131" s="15" t="s">
        <v>272</v>
      </c>
    </row>
    <row r="132" customFormat="false" ht="15" hidden="false" customHeight="false" outlineLevel="0" collapsed="false">
      <c r="A132" s="15" t="s">
        <v>273</v>
      </c>
    </row>
    <row r="133" customFormat="false" ht="15" hidden="false" customHeight="false" outlineLevel="0" collapsed="false">
      <c r="A133" s="15" t="s">
        <v>274</v>
      </c>
      <c r="V133" s="16" t="n">
        <f aca="false">SUMIF(U2:U127,"",V2:V127)</f>
        <v>287</v>
      </c>
    </row>
    <row r="134" customFormat="false" ht="15" hidden="false" customHeight="false" outlineLevel="0" collapsed="false">
      <c r="A134" s="15" t="s">
        <v>275</v>
      </c>
    </row>
    <row r="135" customFormat="false" ht="15" hidden="false" customHeight="false" outlineLevel="0" collapsed="false">
      <c r="A135" s="15" t="s">
        <v>276</v>
      </c>
    </row>
  </sheetData>
  <autoFilter ref="A1:W1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7" t="s">
        <v>277</v>
      </c>
      <c r="B1" s="17" t="s">
        <v>278</v>
      </c>
      <c r="C1" s="17" t="s">
        <v>279</v>
      </c>
      <c r="D1" s="17" t="s">
        <v>280</v>
      </c>
      <c r="E1" s="17" t="s">
        <v>281</v>
      </c>
    </row>
    <row r="2" customFormat="false" ht="15" hidden="false" customHeight="false" outlineLevel="0" collapsed="false">
      <c r="A2" s="3" t="s">
        <v>6</v>
      </c>
      <c r="B2" s="5" t="s">
        <v>282</v>
      </c>
      <c r="C2" s="18" t="n">
        <v>84</v>
      </c>
      <c r="D2" s="5" t="n">
        <f aca="false">Сводная!G128</f>
        <v>84</v>
      </c>
      <c r="E2" s="5" t="n">
        <f aca="false">D2-C2</f>
        <v>0</v>
      </c>
    </row>
    <row r="3" customFormat="false" ht="15" hidden="false" customHeight="false" outlineLevel="0" collapsed="false">
      <c r="A3" s="3" t="s">
        <v>7</v>
      </c>
      <c r="B3" s="5" t="s">
        <v>283</v>
      </c>
      <c r="C3" s="18" t="n">
        <v>29</v>
      </c>
      <c r="D3" s="5" t="n">
        <f aca="false">Сводная!H128</f>
        <v>29</v>
      </c>
      <c r="E3" s="5" t="n">
        <f aca="false">D3-C3</f>
        <v>0</v>
      </c>
    </row>
    <row r="4" customFormat="false" ht="15" hidden="false" customHeight="false" outlineLevel="0" collapsed="false">
      <c r="A4" s="3" t="s">
        <v>8</v>
      </c>
      <c r="B4" s="5" t="s">
        <v>283</v>
      </c>
      <c r="C4" s="18" t="n">
        <v>37</v>
      </c>
      <c r="D4" s="5" t="n">
        <f aca="false">Сводная!I128</f>
        <v>37</v>
      </c>
      <c r="E4" s="5" t="n">
        <f aca="false">D4-C4</f>
        <v>0</v>
      </c>
    </row>
    <row r="5" customFormat="false" ht="15" hidden="false" customHeight="false" outlineLevel="0" collapsed="false">
      <c r="A5" s="3" t="s">
        <v>9</v>
      </c>
      <c r="B5" s="5" t="s">
        <v>284</v>
      </c>
      <c r="C5" s="18" t="n">
        <v>43</v>
      </c>
      <c r="D5" s="5" t="n">
        <f aca="false">Сводная!J128</f>
        <v>43</v>
      </c>
      <c r="E5" s="5" t="n">
        <f aca="false">D5-C5</f>
        <v>0</v>
      </c>
    </row>
    <row r="6" customFormat="false" ht="15" hidden="false" customHeight="false" outlineLevel="0" collapsed="false">
      <c r="A6" s="3" t="s">
        <v>10</v>
      </c>
      <c r="B6" s="5" t="s">
        <v>285</v>
      </c>
      <c r="C6" s="18" t="n">
        <v>64</v>
      </c>
      <c r="D6" s="5" t="n">
        <f aca="false">Сводная!K128</f>
        <v>64</v>
      </c>
      <c r="E6" s="5" t="n">
        <f aca="false">D6-C6</f>
        <v>0</v>
      </c>
    </row>
    <row r="7" customFormat="false" ht="15" hidden="false" customHeight="false" outlineLevel="0" collapsed="false">
      <c r="A7" s="3" t="s">
        <v>11</v>
      </c>
      <c r="B7" s="5" t="s">
        <v>286</v>
      </c>
      <c r="C7" s="18" t="n">
        <v>6</v>
      </c>
      <c r="D7" s="5" t="n">
        <f aca="false">Сводная!L128</f>
        <v>6</v>
      </c>
      <c r="E7" s="5" t="n">
        <f aca="false">D7-C7</f>
        <v>0</v>
      </c>
    </row>
    <row r="8" customFormat="false" ht="15" hidden="false" customHeight="false" outlineLevel="0" collapsed="false">
      <c r="A8" s="3" t="s">
        <v>12</v>
      </c>
      <c r="B8" s="5" t="s">
        <v>286</v>
      </c>
      <c r="C8" s="18" t="n">
        <v>22</v>
      </c>
      <c r="D8" s="5" t="n">
        <f aca="false">Сводная!M128</f>
        <v>22</v>
      </c>
      <c r="E8" s="5" t="n">
        <f aca="false">D8-C8</f>
        <v>0</v>
      </c>
    </row>
    <row r="9" customFormat="false" ht="15" hidden="false" customHeight="false" outlineLevel="0" collapsed="false">
      <c r="A9" s="3" t="s">
        <v>13</v>
      </c>
      <c r="B9" s="5" t="s">
        <v>287</v>
      </c>
      <c r="C9" s="18" t="n">
        <v>6</v>
      </c>
      <c r="D9" s="5" t="n">
        <f aca="false">Сводная!N128</f>
        <v>6</v>
      </c>
      <c r="E9" s="5" t="n">
        <f aca="false">D9-C9</f>
        <v>0</v>
      </c>
    </row>
    <row r="10" customFormat="false" ht="15" hidden="false" customHeight="false" outlineLevel="0" collapsed="false">
      <c r="A10" s="3" t="s">
        <v>14</v>
      </c>
      <c r="B10" s="5" t="s">
        <v>288</v>
      </c>
      <c r="C10" s="18" t="n">
        <v>38</v>
      </c>
      <c r="D10" s="5" t="n">
        <f aca="false">Сводная!O128</f>
        <v>38</v>
      </c>
      <c r="E10" s="5" t="n">
        <f aca="false">D10-C10</f>
        <v>0</v>
      </c>
    </row>
    <row r="11" customFormat="false" ht="15" hidden="false" customHeight="false" outlineLevel="0" collapsed="false">
      <c r="A11" s="3" t="s">
        <v>15</v>
      </c>
      <c r="B11" s="5" t="s">
        <v>289</v>
      </c>
      <c r="C11" s="18" t="n">
        <v>43</v>
      </c>
      <c r="D11" s="5" t="n">
        <f aca="false">Сводная!P128</f>
        <v>43</v>
      </c>
      <c r="E11" s="5" t="n">
        <f aca="false">D11-C11</f>
        <v>0</v>
      </c>
    </row>
    <row r="12" customFormat="false" ht="15" hidden="false" customHeight="false" outlineLevel="0" collapsed="false">
      <c r="A12" s="3" t="s">
        <v>16</v>
      </c>
      <c r="B12" s="5" t="s">
        <v>290</v>
      </c>
      <c r="C12" s="18" t="n">
        <v>1893</v>
      </c>
      <c r="D12" s="5" t="n">
        <f aca="false">Сводная!Q128</f>
        <v>1893</v>
      </c>
      <c r="E12" s="5" t="n">
        <f aca="false">D12-C12</f>
        <v>0</v>
      </c>
    </row>
    <row r="13" customFormat="false" ht="15" hidden="false" customHeight="false" outlineLevel="0" collapsed="false">
      <c r="A13" s="3" t="s">
        <v>17</v>
      </c>
      <c r="B13" s="5" t="s">
        <v>291</v>
      </c>
      <c r="C13" s="18" t="n">
        <v>20</v>
      </c>
      <c r="D13" s="5" t="n">
        <f aca="false">Сводная!R128</f>
        <v>20</v>
      </c>
      <c r="E13" s="5" t="n">
        <f aca="false">D13-C13</f>
        <v>0</v>
      </c>
    </row>
    <row r="14" customFormat="false" ht="15" hidden="false" customHeight="false" outlineLevel="0" collapsed="false">
      <c r="A14" s="3" t="s">
        <v>18</v>
      </c>
      <c r="B14" s="5" t="s">
        <v>292</v>
      </c>
      <c r="C14" s="18" t="n">
        <v>27</v>
      </c>
      <c r="D14" s="5" t="n">
        <f aca="false">Сводная!S128</f>
        <v>27</v>
      </c>
      <c r="E14" s="5" t="n">
        <f aca="false">D14-C14</f>
        <v>0</v>
      </c>
    </row>
    <row r="15" customFormat="false" ht="15" hidden="false" customHeight="false" outlineLevel="0" collapsed="false">
      <c r="A15" s="3" t="s">
        <v>19</v>
      </c>
      <c r="B15" s="5" t="s">
        <v>293</v>
      </c>
      <c r="C15" s="18" t="n">
        <v>19</v>
      </c>
      <c r="D15" s="5" t="n">
        <f aca="false">Сводная!T128</f>
        <v>19</v>
      </c>
      <c r="E15" s="5" t="n">
        <f aca="false">D15-C15</f>
        <v>0</v>
      </c>
    </row>
    <row r="16" customFormat="false" ht="15" hidden="false" customHeight="false" outlineLevel="0" collapsed="false">
      <c r="A16" s="11" t="s">
        <v>270</v>
      </c>
      <c r="B16" s="12"/>
      <c r="C16" s="12" t="n">
        <f aca="false">SUM(C2:C15)</f>
        <v>2331</v>
      </c>
      <c r="D16" s="12" t="n">
        <f aca="false">SUM(D2:D15)</f>
        <v>2331</v>
      </c>
      <c r="E16" s="12" t="n">
        <f aca="false">D16-C16</f>
        <v>0</v>
      </c>
    </row>
    <row r="18" customFormat="false" ht="15" hidden="false" customHeight="false" outlineLevel="0" collapsed="false">
      <c r="A18" s="15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2026-09-04T10:20:54Z</dcterms:created>
  <dc:creator>openpyxl</dc:creator>
  <dc:description/>
  <dc:language>en-US</dc:language>
  <cp:lastModifiedBy/>
  <dcterms:modified xsi:type="dcterms:W3CDTF">2026-09-04T10:20:55Z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